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_Geral" sheetId="1" state="visible" r:id="rId1"/>
    <sheet xmlns:r="http://schemas.openxmlformats.org/officeDocument/2006/relationships" name="Imoveis_Patrimonio" sheetId="2" state="visible" r:id="rId2"/>
    <sheet xmlns:r="http://schemas.openxmlformats.org/officeDocument/2006/relationships" name="Outubro_Controle_Ativo" sheetId="3" state="visible" r:id="rId3"/>
    <sheet xmlns:r="http://schemas.openxmlformats.org/officeDocument/2006/relationships" name="Conciliacao_e_Prolabore" sheetId="4" state="visible" r:id="rId4"/>
    <sheet xmlns:r="http://schemas.openxmlformats.org/officeDocument/2006/relationships" name="Outubro_Lancamentos" sheetId="5" state="visible" r:id="rId5"/>
    <sheet xmlns:r="http://schemas.openxmlformats.org/officeDocument/2006/relationships" name="Setembro_Lancamentos" sheetId="6" state="visible" r:id="rId6"/>
  </sheets>
  <definedNames>
    <definedName name="_xlnm._FilterDatabase" localSheetId="4" hidden="1">'Outubro_Lancamentos'!$A$1:$N$53</definedName>
    <definedName name="_xlnm._FilterDatabase" localSheetId="5" hidden="1">'Setembro_Lancamentos'!$A$1:$N$181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R$ #,##0.0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64748B"/>
      <sz val="10"/>
    </font>
    <font>
      <name val="Calibri"/>
      <b val="1"/>
      <color rgb="00FFFFFF"/>
      <sz val="12"/>
    </font>
    <font>
      <name val="Calibri"/>
      <b val="1"/>
      <color rgb="00FFFFFF"/>
      <sz val="11"/>
    </font>
    <font>
      <name val="Calibri"/>
      <b val="1"/>
      <sz val="11"/>
    </font>
    <font>
      <name val="Calibri"/>
      <sz val="11"/>
    </font>
  </fonts>
  <fills count="7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1E3A8A"/>
        <bgColor rgb="001E3A8A"/>
      </patternFill>
    </fill>
    <fill>
      <patternFill patternType="solid">
        <fgColor rgb="00D97706"/>
        <bgColor rgb="00D97706"/>
      </patternFill>
    </fill>
    <fill>
      <patternFill patternType="solid">
        <fgColor rgb="00059669"/>
        <bgColor rgb="00059669"/>
      </patternFill>
    </fill>
    <fill>
      <patternFill patternType="solid">
        <fgColor rgb="00E2E8F0"/>
        <bgColor rgb="00E2E8F0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1" pivotButton="0" quotePrefix="0" xfId="0"/>
    <xf numFmtId="164" fontId="0" fillId="0" borderId="1" pivotButton="0" quotePrefix="0" xfId="0"/>
    <xf numFmtId="0" fontId="6" fillId="0" borderId="1" pivotButton="0" quotePrefix="0" xfId="0"/>
    <xf numFmtId="0" fontId="3" fillId="4" borderId="0" pivotButton="0" quotePrefix="0" xfId="0"/>
    <xf numFmtId="0" fontId="0" fillId="0" borderId="1" applyAlignment="1" pivotButton="0" quotePrefix="0" xfId="0">
      <alignment horizontal="center"/>
    </xf>
    <xf numFmtId="0" fontId="1" fillId="5" borderId="0" applyAlignment="1" pivotButton="0" quotePrefix="0" xfId="0">
      <alignment horizontal="center" vertical="center"/>
    </xf>
    <xf numFmtId="0" fontId="0" fillId="0" borderId="1" pivotButton="0" quotePrefix="0" xfId="0"/>
    <xf numFmtId="0" fontId="1" fillId="4" borderId="0" applyAlignment="1" pivotButton="0" quotePrefix="0" xfId="0">
      <alignment horizontal="center" vertical="center"/>
    </xf>
    <xf numFmtId="0" fontId="5" fillId="0" borderId="0" pivotButton="0" quotePrefix="0" xfId="0"/>
    <xf numFmtId="164" fontId="5" fillId="6" borderId="0" pivotButton="0" quotePrefix="0" xfId="0"/>
    <xf numFmtId="0" fontId="1" fillId="3" borderId="0" applyAlignment="1" pivotButton="0" quotePrefix="0" xfId="0">
      <alignment horizontal="center" vertical="center"/>
    </xf>
    <xf numFmtId="0" fontId="3" fillId="5" borderId="0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RowHeight="15"/>
  <cols>
    <col width="57" customWidth="1" min="1" max="1"/>
    <col width="16" customWidth="1" min="2" max="2"/>
    <col width="28" customWidth="1" min="3" max="3"/>
    <col width="28" customWidth="1" min="4" max="4"/>
    <col width="26" customWidth="1" min="5" max="5"/>
    <col width="25" customWidth="1" min="6" max="6"/>
    <col width="22" customWidth="1" min="7" max="7"/>
    <col width="55" customWidth="1" min="8" max="8"/>
  </cols>
  <sheetData>
    <row r="1">
      <c r="A1" s="1" t="inlineStr">
        <is>
          <t>PAINEL EXECUTIVO DE GESTÃO FINANCEIRA — MOURA BARRETTO</t>
        </is>
      </c>
    </row>
    <row r="2"/>
    <row r="3">
      <c r="A3" s="2" t="inlineStr">
        <is>
          <t>Moura Barretto Engenharia Ltda (PJ) &amp; Mateus Moura Barretto (PF) • Visão Estrutural Consolidada</t>
        </is>
      </c>
    </row>
    <row r="4"/>
    <row r="5">
      <c r="A5" s="3" t="inlineStr">
        <is>
          <t>1. COMPARATIVO MACRO: SETEMBRO (CONCLUÍDO) vs OUTUBRO (EM ANDAMENTO)</t>
        </is>
      </c>
    </row>
    <row r="6">
      <c r="A6" s="4" t="inlineStr">
        <is>
          <t>Indicador Financeiro</t>
        </is>
      </c>
      <c r="B6" s="4" t="inlineStr">
        <is>
          <t>Setembro/2026</t>
        </is>
      </c>
      <c r="C6" s="4" t="inlineStr">
        <is>
          <t>Outubro Realizado (01-07)</t>
        </is>
      </c>
      <c r="D6" s="4" t="inlineStr">
        <is>
          <t>Outubro Previsto Restante</t>
        </is>
      </c>
      <c r="E6" s="4" t="inlineStr">
        <is>
          <t>Outubro Projetado Total</t>
        </is>
      </c>
      <c r="F6" s="4" t="inlineStr">
        <is>
          <t>Variação vs Setembro</t>
        </is>
      </c>
      <c r="G6" s="4" t="inlineStr">
        <is>
          <t>Status Orçamentário</t>
        </is>
      </c>
      <c r="H6" s="4" t="inlineStr">
        <is>
          <t>Observação Estratégica</t>
        </is>
      </c>
    </row>
    <row r="7">
      <c r="A7" s="5" t="inlineStr">
        <is>
          <t>Receitas Operacionais (PJ + Internacional)</t>
        </is>
      </c>
      <c r="B7" s="6" t="n">
        <v>16560</v>
      </c>
      <c r="C7" s="6" t="n">
        <v>8770.209999999999</v>
      </c>
      <c r="D7" s="6" t="n">
        <v>7200</v>
      </c>
      <c r="E7" s="6" t="n">
        <v>15970.21</v>
      </c>
      <c r="F7" s="6" t="n">
        <v>-589.79</v>
      </c>
      <c r="G7" s="5" t="inlineStr">
        <is>
          <t>Regular</t>
        </is>
      </c>
      <c r="H7" s="7" t="inlineStr">
        <is>
          <t>Wise Portugal R$ 8.770,21 recebido em 06/10</t>
        </is>
      </c>
    </row>
    <row r="8">
      <c r="A8" s="5" t="inlineStr">
        <is>
          <t>Despesas Operacionais do Escritório (PJ)</t>
        </is>
      </c>
      <c r="B8" s="6" t="n">
        <v>4674.65</v>
      </c>
      <c r="C8" s="6" t="n">
        <v>3037.47</v>
      </c>
      <c r="D8" s="6" t="n">
        <v>1205.98</v>
      </c>
      <c r="E8" s="6" t="n">
        <v>4243.45</v>
      </c>
      <c r="F8" s="6" t="n">
        <v>-431.2</v>
      </c>
      <c r="G8" s="5" t="inlineStr">
        <is>
          <t>Otimizado</t>
        </is>
      </c>
      <c r="H8" s="7" t="inlineStr">
        <is>
          <t>Encerraram parcelas Gol e Seguro Azul!</t>
        </is>
      </c>
    </row>
    <row r="9">
      <c r="A9" s="5" t="inlineStr">
        <is>
          <t>Custos da Família / Subsistência Real (PF)</t>
        </is>
      </c>
      <c r="B9" s="6" t="n">
        <v>16835.47</v>
      </c>
      <c r="C9" s="6" t="n">
        <v>3317.84</v>
      </c>
      <c r="D9" s="6" t="n">
        <v>9152.92</v>
      </c>
      <c r="E9" s="6" t="n">
        <v>12470.76</v>
      </c>
      <c r="F9" s="6" t="n">
        <v>-4364.71</v>
      </c>
      <c r="G9" s="5" t="inlineStr">
        <is>
          <t>Grande Alívio!</t>
        </is>
      </c>
      <c r="H9" s="7" t="inlineStr">
        <is>
          <t>Fim de Casas Bahia, Vai de Promo, Sigga (-R$ 1.425/mês)</t>
        </is>
      </c>
    </row>
    <row r="10">
      <c r="A10" s="5" t="inlineStr">
        <is>
          <t>Investimento Patrimonial (Apto Salvador na Planta)</t>
        </is>
      </c>
      <c r="B10" s="6" t="n">
        <v>1662.67</v>
      </c>
      <c r="C10" s="6" t="n">
        <v>1673.59</v>
      </c>
      <c r="D10" s="6" t="n">
        <v>0</v>
      </c>
      <c r="E10" s="6" t="n">
        <v>1673.59</v>
      </c>
      <c r="F10" s="6" t="n">
        <v>10.92</v>
      </c>
      <c r="G10" s="5" t="inlineStr">
        <is>
          <t>Patrimônio</t>
        </is>
      </c>
      <c r="H10" s="7" t="inlineStr">
        <is>
          <t>Parcela mensal da construtora (Ocean Breeze)</t>
        </is>
      </c>
    </row>
    <row r="11">
      <c r="A11" s="5" t="inlineStr">
        <is>
          <t>Alívio das Parcelas Encerradas (Economia)</t>
        </is>
      </c>
      <c r="B11" s="6" t="n">
        <v>0</v>
      </c>
      <c r="C11" s="6" t="n">
        <v>1888.84</v>
      </c>
      <c r="D11" s="6" t="n">
        <v>1888.84</v>
      </c>
      <c r="E11" s="6" t="n">
        <v>1888.84</v>
      </c>
      <c r="F11" s="6" t="n">
        <v>1888.84</v>
      </c>
      <c r="G11" s="5" t="inlineStr">
        <is>
          <t>Economizado!</t>
        </is>
      </c>
      <c r="H11" s="7" t="inlineStr">
        <is>
          <t>Folga real de R$ 1.888,84/mês liberada no caixa</t>
        </is>
      </c>
    </row>
    <row r="12">
      <c r="A12" s="5" t="inlineStr">
        <is>
          <t>Saldo Livre / Fluxo de Caixa Projetado</t>
        </is>
      </c>
      <c r="B12" s="6" t="n">
        <v>480</v>
      </c>
      <c r="C12" s="6" t="n">
        <v>1841.31</v>
      </c>
      <c r="D12" s="6" t="n">
        <v>-2152.92</v>
      </c>
      <c r="E12" s="6" t="n">
        <v>-417.59</v>
      </c>
      <c r="F12" s="6" t="n">
        <v>0</v>
      </c>
      <c r="G12" s="5" t="inlineStr">
        <is>
          <t>Atenção Fluxo</t>
        </is>
      </c>
      <c r="H12" s="7" t="inlineStr">
        <is>
          <t>Depende da entrada de faturamento nacional até 31/10</t>
        </is>
      </c>
    </row>
    <row r="13"/>
    <row r="14"/>
    <row r="15">
      <c r="A15" s="8" t="inlineStr">
        <is>
          <t>2. CRONOGRAMA DE ALÍVIO FINANCEIRO: PARCELAS QUE ACABARAM &amp; ESTÃO ACABANDO</t>
        </is>
      </c>
    </row>
    <row r="16">
      <c r="A16" s="4" t="inlineStr">
        <is>
          <t>Contrato / Despesa</t>
        </is>
      </c>
      <c r="B16" s="4" t="inlineStr">
        <is>
          <t>Entidade</t>
        </is>
      </c>
      <c r="C16" s="4" t="inlineStr">
        <is>
          <t>Valor Mensal (R$)</t>
        </is>
      </c>
      <c r="D16" s="4" t="inlineStr">
        <is>
          <t>Último Mês Pago</t>
        </is>
      </c>
      <c r="E16" s="4" t="inlineStr">
        <is>
          <t>Impacto Orçamentário</t>
        </is>
      </c>
      <c r="F16" s="4" t="inlineStr">
        <is>
          <t>Status de Encerramento</t>
        </is>
      </c>
      <c r="G16" s="4" t="inlineStr">
        <is>
          <t>Economia Acumulada</t>
        </is>
      </c>
      <c r="H16" s="4" t="inlineStr">
        <is>
          <t>Destinação Recomendada</t>
        </is>
      </c>
    </row>
    <row r="17">
      <c r="A17" s="5" t="inlineStr">
        <is>
          <t>Grupo Casas Bahia (Parcela 10/10)</t>
        </is>
      </c>
      <c r="B17" s="9" t="inlineStr">
        <is>
          <t>PF</t>
        </is>
      </c>
      <c r="C17" s="6" t="n">
        <v>678.77</v>
      </c>
      <c r="D17" s="9" t="inlineStr">
        <is>
          <t>Setembro/2026</t>
        </is>
      </c>
      <c r="E17" s="5" t="inlineStr">
        <is>
          <t>Liberado em Outubro</t>
        </is>
      </c>
      <c r="F17" s="5" t="inlineStr">
        <is>
          <t>Encerrado</t>
        </is>
      </c>
      <c r="G17" s="6" t="n">
        <v>678.77</v>
      </c>
      <c r="H17" s="7" t="inlineStr">
        <is>
          <t>Reserva de Emergência</t>
        </is>
      </c>
    </row>
    <row r="18">
      <c r="A18" s="5" t="inlineStr">
        <is>
          <t>Vai de Promo (Parcela 3/3)</t>
        </is>
      </c>
      <c r="B18" s="9" t="inlineStr">
        <is>
          <t>PF</t>
        </is>
      </c>
      <c r="C18" s="6" t="n">
        <v>633.97</v>
      </c>
      <c r="D18" s="9" t="inlineStr">
        <is>
          <t>Setembro/2026</t>
        </is>
      </c>
      <c r="E18" s="5" t="inlineStr">
        <is>
          <t>Liberado em Outubro</t>
        </is>
      </c>
      <c r="F18" s="5" t="inlineStr">
        <is>
          <t>Encerrado</t>
        </is>
      </c>
      <c r="G18" s="6" t="n">
        <v>1312.74</v>
      </c>
      <c r="H18" s="7" t="inlineStr">
        <is>
          <t>Aporte Imóvel Salvador</t>
        </is>
      </c>
    </row>
    <row r="19">
      <c r="A19" s="5" t="inlineStr">
        <is>
          <t>Sigga Moda Infantil (Parcela 4/4)</t>
        </is>
      </c>
      <c r="B19" s="9" t="inlineStr">
        <is>
          <t>PF</t>
        </is>
      </c>
      <c r="C19" s="6" t="n">
        <v>113.15</v>
      </c>
      <c r="D19" s="9" t="inlineStr">
        <is>
          <t>Setembro/2026</t>
        </is>
      </c>
      <c r="E19" s="5" t="inlineStr">
        <is>
          <t>Liberado em Outubro</t>
        </is>
      </c>
      <c r="F19" s="5" t="inlineStr">
        <is>
          <t>Encerrado</t>
        </is>
      </c>
      <c r="G19" s="6" t="n">
        <v>1425.89</v>
      </c>
      <c r="H19" s="7" t="inlineStr">
        <is>
          <t>Custos Benjamim</t>
        </is>
      </c>
    </row>
    <row r="20">
      <c r="A20" s="5" t="inlineStr">
        <is>
          <t>Gol Linhas Aéreas PJ (Parcela 2/2)</t>
        </is>
      </c>
      <c r="B20" s="9" t="inlineStr">
        <is>
          <t>PJ</t>
        </is>
      </c>
      <c r="C20" s="6" t="n">
        <v>462.95</v>
      </c>
      <c r="D20" s="9" t="inlineStr">
        <is>
          <t>Setembro/2026</t>
        </is>
      </c>
      <c r="E20" s="5" t="inlineStr">
        <is>
          <t>Liberado em Outubro</t>
        </is>
      </c>
      <c r="F20" s="5" t="inlineStr">
        <is>
          <t>Encerrado</t>
        </is>
      </c>
      <c r="G20" s="6" t="n">
        <v>1888.84</v>
      </c>
      <c r="H20" s="7" t="inlineStr">
        <is>
          <t>Caixa de Giro PJ</t>
        </is>
      </c>
    </row>
    <row r="21">
      <c r="A21" s="5" t="inlineStr">
        <is>
          <t>Latam Linhas Aéreas PF (Parcela 4/4)</t>
        </is>
      </c>
      <c r="B21" s="9" t="inlineStr">
        <is>
          <t>PF</t>
        </is>
      </c>
      <c r="C21" s="6" t="n">
        <v>426.53</v>
      </c>
      <c r="D21" s="9" t="inlineStr">
        <is>
          <t>Outubro/2026</t>
        </is>
      </c>
      <c r="E21" s="5" t="inlineStr">
        <is>
          <t>Liberado em Novembro</t>
        </is>
      </c>
      <c r="F21" s="5" t="inlineStr">
        <is>
          <t>Última Parcela!</t>
        </is>
      </c>
      <c r="G21" s="6" t="n">
        <v>2315.37</v>
      </c>
      <c r="H21" s="7" t="inlineStr">
        <is>
          <t>Folga Mensal</t>
        </is>
      </c>
    </row>
    <row r="22">
      <c r="A22" s="5" t="inlineStr">
        <is>
          <t>Gol Linhas Aéreas PJ (Parcela 3/3)</t>
        </is>
      </c>
      <c r="B22" s="9" t="inlineStr">
        <is>
          <t>PJ</t>
        </is>
      </c>
      <c r="C22" s="6" t="n">
        <v>246.57</v>
      </c>
      <c r="D22" s="9" t="inlineStr">
        <is>
          <t>Outubro/2026</t>
        </is>
      </c>
      <c r="E22" s="5" t="inlineStr">
        <is>
          <t>Liberado em Novembro</t>
        </is>
      </c>
      <c r="F22" s="5" t="inlineStr">
        <is>
          <t>Última Parcela!</t>
        </is>
      </c>
      <c r="G22" s="6" t="n">
        <v>2561.94</v>
      </c>
      <c r="H22" s="7" t="inlineStr">
        <is>
          <t>Caixa de Giro PJ</t>
        </is>
      </c>
    </row>
    <row r="23">
      <c r="A23" s="5" t="inlineStr">
        <is>
          <t>Azul Seguros Veicular (Parcela 10/10)</t>
        </is>
      </c>
      <c r="B23" s="9" t="inlineStr">
        <is>
          <t>PJ</t>
        </is>
      </c>
      <c r="C23" s="6" t="n">
        <v>238.77</v>
      </c>
      <c r="D23" s="9" t="inlineStr">
        <is>
          <t>Outubro/2026</t>
        </is>
      </c>
      <c r="E23" s="5" t="inlineStr">
        <is>
          <t>Liberado em Novembro</t>
        </is>
      </c>
      <c r="F23" s="5" t="inlineStr">
        <is>
          <t>Última Parcela!</t>
        </is>
      </c>
      <c r="G23" s="6" t="n">
        <v>2800.71</v>
      </c>
      <c r="H23" s="7" t="inlineStr">
        <is>
          <t>Renovação à Vista</t>
        </is>
      </c>
    </row>
    <row r="24">
      <c r="A24" s="5" t="inlineStr">
        <is>
          <t>Respect 4 Jiu-Jitsu (Parcela 3/3)</t>
        </is>
      </c>
      <c r="B24" s="9" t="inlineStr">
        <is>
          <t>PF</t>
        </is>
      </c>
      <c r="C24" s="6" t="n">
        <v>165</v>
      </c>
      <c r="D24" s="9" t="inlineStr">
        <is>
          <t>Outubro/2026</t>
        </is>
      </c>
      <c r="E24" s="5" t="inlineStr">
        <is>
          <t>Liberado em Novembro</t>
        </is>
      </c>
      <c r="F24" s="5" t="inlineStr">
        <is>
          <t>Última Parcela!</t>
        </is>
      </c>
      <c r="G24" s="6" t="n">
        <v>2965.71</v>
      </c>
      <c r="H24" s="7" t="inlineStr">
        <is>
          <t>Saúde / Lazer</t>
        </is>
      </c>
    </row>
  </sheetData>
  <mergeCells count="3">
    <mergeCell ref="A15:H15"/>
    <mergeCell ref="A1:H2"/>
    <mergeCell ref="A5:H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29" customWidth="1" min="2" max="2"/>
    <col width="33" customWidth="1" min="3" max="3"/>
    <col width="47" customWidth="1" min="4" max="4"/>
    <col width="20" customWidth="1" min="5" max="5"/>
    <col width="22" customWidth="1" min="6" max="6"/>
    <col width="27" customWidth="1" min="7" max="7"/>
  </cols>
  <sheetData>
    <row r="1">
      <c r="A1" s="10" t="inlineStr">
        <is>
          <t>DETALHAMENTO E SEPARAÇÃO ESTRATÉGICA DOS 3 IMÓVEIS</t>
        </is>
      </c>
    </row>
    <row r="2"/>
    <row r="3">
      <c r="A3" s="2" t="inlineStr">
        <is>
          <t>Distinção contábil entre Custo de Vida Familiar, Ativo Vago em Espera e Formação de Patrimônio Líquido</t>
        </is>
      </c>
    </row>
    <row r="4"/>
    <row r="5">
      <c r="A5" s="4" t="inlineStr">
        <is>
          <t>Imóvel / Ativo</t>
        </is>
      </c>
      <c r="B5" s="4" t="inlineStr">
        <is>
          <t>Localização</t>
        </is>
      </c>
      <c r="C5" s="4" t="inlineStr">
        <is>
          <t>Finalidade Contábil</t>
        </is>
      </c>
      <c r="D5" s="4" t="inlineStr">
        <is>
          <t>Composição dos Custos</t>
        </is>
      </c>
      <c r="E5" s="4" t="inlineStr">
        <is>
          <t>Desembolso Mensal</t>
        </is>
      </c>
      <c r="F5" s="4" t="inlineStr">
        <is>
          <t>Balões / Semestrais</t>
        </is>
      </c>
      <c r="G5" s="4" t="inlineStr">
        <is>
          <t>Custo Médio Mensal Total</t>
        </is>
      </c>
    </row>
    <row r="6">
      <c r="A6" s="5" t="inlineStr">
        <is>
          <t>1. Apto Ocean Breeze (Na Planta)</t>
        </is>
      </c>
      <c r="B6" s="7" t="inlineStr">
        <is>
          <t>Salvador / BA (Costa Azul)</t>
        </is>
      </c>
      <c r="C6" s="5" t="inlineStr">
        <is>
          <t>Investimento Patrimonial</t>
        </is>
      </c>
      <c r="D6" s="7" t="inlineStr">
        <is>
          <t>Parcelas da Construtora</t>
        </is>
      </c>
      <c r="E6" s="6" t="n">
        <v>1673.59</v>
      </c>
      <c r="F6" s="6" t="n">
        <v>6000</v>
      </c>
      <c r="G6" s="6" t="n">
        <v>2673.59</v>
      </c>
    </row>
    <row r="7">
      <c r="A7" s="5" t="inlineStr">
        <is>
          <t>2. Casa Feira de Santana</t>
        </is>
      </c>
      <c r="B7" s="7" t="inlineStr">
        <is>
          <t>Feira de Santana / BA</t>
        </is>
      </c>
      <c r="C7" s="5" t="inlineStr">
        <is>
          <t>Imóvel Desalugado (Ativo Vago)</t>
        </is>
      </c>
      <c r="D7" s="7" t="inlineStr">
        <is>
          <t>Condomínio c/ Água (R$ 340) + Energia Coelba</t>
        </is>
      </c>
      <c r="E7" s="6" t="n">
        <v>340</v>
      </c>
      <c r="F7" s="6" t="n">
        <v>0</v>
      </c>
      <c r="G7" s="6" t="n">
        <v>390</v>
      </c>
    </row>
    <row r="8">
      <c r="A8" s="5" t="inlineStr">
        <is>
          <t>3. Residência Pouso Alegre</t>
        </is>
      </c>
      <c r="B8" s="7" t="inlineStr">
        <is>
          <t>Pouso Alegre / MG</t>
        </is>
      </c>
      <c r="C8" s="5" t="inlineStr">
        <is>
          <t>Moradia Real da Família</t>
        </is>
      </c>
      <c r="D8" s="7" t="inlineStr">
        <is>
          <t>Aluguel Joelma (R$ 800) + Cemig (~R$ 450)</t>
        </is>
      </c>
      <c r="E8" s="6" t="n">
        <v>800</v>
      </c>
      <c r="F8" s="6" t="n">
        <v>0</v>
      </c>
      <c r="G8" s="6" t="n">
        <v>1250</v>
      </c>
    </row>
    <row r="9"/>
    <row r="10"/>
    <row r="11">
      <c r="A11" s="3" t="inlineStr">
        <is>
          <t>DIRETRIZES DE GESTÃO PARA CADA IMÓVEL</t>
        </is>
      </c>
    </row>
    <row r="12">
      <c r="A12" s="5" t="inlineStr">
        <is>
          <t>Apto Salvador (Investimento)</t>
        </is>
      </c>
      <c r="B12" s="7" t="inlineStr">
        <is>
          <t>Este valor de ~R$ 2.500 a R$ 2.670/mês NÃO deve ser considerado despesa de subsistência familiar. Trata-se de Poupança Forçada e Aquisição de Patrimônio. Quando for entregue, o imóvel gerará renda de aluguel ou valorização de capital.</t>
        </is>
      </c>
      <c r="C12" s="11" t="n"/>
      <c r="D12" s="11" t="n"/>
      <c r="E12" s="11" t="n"/>
      <c r="F12" s="11" t="n"/>
      <c r="G12" s="11" t="n"/>
    </row>
    <row r="13">
      <c r="A13" s="5" t="inlineStr">
        <is>
          <t>Casa Feira de Santana</t>
        </is>
      </c>
      <c r="B13" s="7" t="inlineStr">
        <is>
          <t>Ativo que está consumindo ~R$ 390/mês de condomínio e energia sem gerar receita. Recomenda-se colocar para locação residencial (renda passiva imediata) ou venda para amortizar os balões semestrais de Salvador!</t>
        </is>
      </c>
      <c r="C13" s="11" t="n"/>
      <c r="D13" s="11" t="n"/>
      <c r="E13" s="11" t="n"/>
      <c r="F13" s="11" t="n"/>
      <c r="G13" s="11" t="n"/>
    </row>
    <row r="14">
      <c r="A14" s="5" t="inlineStr">
        <is>
          <t>Residência Pouso Alegre</t>
        </is>
      </c>
      <c r="B14" s="7" t="inlineStr">
        <is>
          <t>Custo de moradia real da família extremamente enxuto e eficiente: R$ 800 de aluguel + energia, excelente relação custo-benefício.</t>
        </is>
      </c>
      <c r="C14" s="11" t="n"/>
      <c r="D14" s="11" t="n"/>
      <c r="E14" s="11" t="n"/>
      <c r="F14" s="11" t="n"/>
      <c r="G14" s="11" t="n"/>
    </row>
  </sheetData>
  <mergeCells count="5">
    <mergeCell ref="A1:G2"/>
    <mergeCell ref="B14:G14"/>
    <mergeCell ref="B12:G12"/>
    <mergeCell ref="B13:G13"/>
    <mergeCell ref="A11:G1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1" workbookViewId="0">
      <selection activeCell="A1" sqref="A1"/>
    </sheetView>
  </sheetViews>
  <sheetFormatPr baseColWidth="8" defaultRowHeight="15"/>
  <cols>
    <col width="57" customWidth="1" min="1" max="1"/>
    <col width="12" customWidth="1" min="2" max="2"/>
    <col width="26" customWidth="1" min="3" max="3"/>
    <col width="22" customWidth="1" min="4" max="4"/>
    <col width="17" customWidth="1" min="5" max="5"/>
    <col width="24" customWidth="1" min="6" max="6"/>
    <col width="34" customWidth="1" min="7" max="7"/>
  </cols>
  <sheetData>
    <row r="1">
      <c r="A1" s="12" t="inlineStr">
        <is>
          <t>OUTUBRO/2026: GESTÃO EM TEMPO REAL — CONTAS A PAGAR &amp; REALIZADO</t>
        </is>
      </c>
    </row>
    <row r="2"/>
    <row r="3"/>
    <row r="4">
      <c r="A4" s="4" t="inlineStr">
        <is>
          <t>Compromisso / Conta</t>
        </is>
      </c>
      <c r="B4" s="4" t="inlineStr">
        <is>
          <t>Entidade</t>
        </is>
      </c>
      <c r="C4" s="4" t="inlineStr">
        <is>
          <t>Categoria</t>
        </is>
      </c>
      <c r="D4" s="4" t="inlineStr">
        <is>
          <t>Valor Previsto (R$)</t>
        </is>
      </c>
      <c r="E4" s="4" t="inlineStr">
        <is>
          <t>Prazo Estimado</t>
        </is>
      </c>
      <c r="F4" s="4" t="inlineStr">
        <is>
          <t>Prioridade</t>
        </is>
      </c>
      <c r="G4" s="4" t="inlineStr">
        <is>
          <t>Origem de Pagamento Recomendada</t>
        </is>
      </c>
    </row>
    <row r="5">
      <c r="A5" s="5" t="inlineStr">
        <is>
          <t>Banco RCI Brasil (Parcela Financiamento Carro)</t>
        </is>
      </c>
      <c r="B5" s="9" t="inlineStr">
        <is>
          <t>PF</t>
        </is>
      </c>
      <c r="C5" s="7" t="inlineStr">
        <is>
          <t>Transporte &amp; Veículos</t>
        </is>
      </c>
      <c r="D5" s="6" t="n">
        <v>2080.09</v>
      </c>
      <c r="E5" s="9" t="inlineStr">
        <is>
          <t>Até 31/10</t>
        </is>
      </c>
      <c r="F5" s="5" t="inlineStr">
        <is>
          <t>Essencial / Crítico</t>
        </is>
      </c>
      <c r="G5" s="7" t="inlineStr">
        <is>
          <t>A definir (PJ ou PF)</t>
        </is>
      </c>
    </row>
    <row r="6">
      <c r="A6" s="5" t="inlineStr">
        <is>
          <t>Associação Obras Sociais (Escola Benjamim)</t>
        </is>
      </c>
      <c r="B6" s="9" t="inlineStr">
        <is>
          <t>PF</t>
        </is>
      </c>
      <c r="C6" s="7" t="inlineStr">
        <is>
          <t>Educação (Benjamim)</t>
        </is>
      </c>
      <c r="D6" s="6" t="n">
        <v>1870</v>
      </c>
      <c r="E6" s="9" t="inlineStr">
        <is>
          <t>Até 21/10</t>
        </is>
      </c>
      <c r="F6" s="5" t="inlineStr">
        <is>
          <t>Essencial</t>
        </is>
      </c>
      <c r="G6" s="7" t="inlineStr">
        <is>
          <t>Normal PF</t>
        </is>
      </c>
    </row>
    <row r="7">
      <c r="A7" s="5" t="inlineStr">
        <is>
          <t>Unimed Pouso Alegre (Plano de Saúde Família - 3 Boletos)</t>
        </is>
      </c>
      <c r="B7" s="9" t="inlineStr">
        <is>
          <t>PF</t>
        </is>
      </c>
      <c r="C7" s="7" t="inlineStr">
        <is>
          <t>Saúde &amp; Bem-Estar</t>
        </is>
      </c>
      <c r="D7" s="6" t="n">
        <v>1546.83</v>
      </c>
      <c r="E7" s="9" t="inlineStr">
        <is>
          <t>Até 10/10</t>
        </is>
      </c>
      <c r="F7" s="5" t="inlineStr">
        <is>
          <t>Essencial</t>
        </is>
      </c>
      <c r="G7" s="7" t="inlineStr">
        <is>
          <t>Normal PF</t>
        </is>
      </c>
    </row>
    <row r="8">
      <c r="A8" s="5" t="inlineStr">
        <is>
          <t>Joelma Pereira de Aquino Souza (Aluguel Pouso Alegre)</t>
        </is>
      </c>
      <c r="B8" s="9" t="inlineStr">
        <is>
          <t>PF</t>
        </is>
      </c>
      <c r="C8" s="7" t="inlineStr">
        <is>
          <t>Moradia (Pouso Alegre)</t>
        </is>
      </c>
      <c r="D8" s="6" t="n">
        <v>800</v>
      </c>
      <c r="E8" s="9" t="inlineStr">
        <is>
          <t>Até 18/10</t>
        </is>
      </c>
      <c r="F8" s="5" t="inlineStr">
        <is>
          <t>Essencial</t>
        </is>
      </c>
      <c r="G8" s="7" t="inlineStr">
        <is>
          <t>A definir (PJ ou PF)</t>
        </is>
      </c>
    </row>
    <row r="9">
      <c r="A9" s="5" t="inlineStr">
        <is>
          <t>D W Treinamento (Coworking / Aluguel Escritório Pouso Alegre)</t>
        </is>
      </c>
      <c r="B9" s="9" t="inlineStr">
        <is>
          <t>PJ</t>
        </is>
      </c>
      <c r="C9" s="7" t="inlineStr">
        <is>
          <t>Custos Escritório</t>
        </is>
      </c>
      <c r="D9" s="6" t="n">
        <v>525</v>
      </c>
      <c r="E9" s="9" t="inlineStr">
        <is>
          <t>Até 15/10</t>
        </is>
      </c>
      <c r="F9" s="5" t="inlineStr">
        <is>
          <t>Operacional</t>
        </is>
      </c>
      <c r="G9" s="7" t="inlineStr">
        <is>
          <t>Normal PJ</t>
        </is>
      </c>
    </row>
    <row r="10">
      <c r="A10" s="5" t="inlineStr">
        <is>
          <t>CEMIG Distribuição MG (Energia Residencial Pouso Alegre)</t>
        </is>
      </c>
      <c r="B10" s="9" t="inlineStr">
        <is>
          <t>PF</t>
        </is>
      </c>
      <c r="C10" s="7" t="inlineStr">
        <is>
          <t>Moradia (Pouso Alegre)</t>
        </is>
      </c>
      <c r="D10" s="6" t="n">
        <v>450</v>
      </c>
      <c r="E10" s="9" t="inlineStr">
        <is>
          <t>Até 30/10</t>
        </is>
      </c>
      <c r="F10" s="5" t="inlineStr">
        <is>
          <t>Consumo Básico</t>
        </is>
      </c>
      <c r="G10" s="7" t="inlineStr">
        <is>
          <t>A definir</t>
        </is>
      </c>
    </row>
    <row r="11">
      <c r="A11" s="5" t="inlineStr">
        <is>
          <t>Condomínio Casa Feira de Santana (Desalugada com Água)</t>
        </is>
      </c>
      <c r="B11" s="9" t="inlineStr">
        <is>
          <t>PF</t>
        </is>
      </c>
      <c r="C11" s="7" t="inlineStr">
        <is>
          <t>Imóvel Feira de Santana</t>
        </is>
      </c>
      <c r="D11" s="6" t="n">
        <v>340</v>
      </c>
      <c r="E11" s="9" t="inlineStr">
        <is>
          <t>Até 20/10</t>
        </is>
      </c>
      <c r="F11" s="5" t="inlineStr">
        <is>
          <t>Manutenção Ativo</t>
        </is>
      </c>
      <c r="G11" s="7" t="inlineStr">
        <is>
          <t>Normal PF</t>
        </is>
      </c>
    </row>
    <row r="12">
      <c r="A12" s="5" t="inlineStr">
        <is>
          <t>IPOG (Pós-Graduação Técnica Engenharia)</t>
        </is>
      </c>
      <c r="B12" s="9" t="inlineStr">
        <is>
          <t>PJ</t>
        </is>
      </c>
      <c r="C12" s="7" t="inlineStr">
        <is>
          <t>Custos Escritório</t>
        </is>
      </c>
      <c r="D12" s="6" t="n">
        <v>279.14</v>
      </c>
      <c r="E12" s="9" t="inlineStr">
        <is>
          <t>Até 15/10</t>
        </is>
      </c>
      <c r="F12" s="5" t="inlineStr">
        <is>
          <t>Técnico PJ</t>
        </is>
      </c>
      <c r="G12" s="7" t="inlineStr">
        <is>
          <t>Normal PJ</t>
        </is>
      </c>
    </row>
    <row r="13">
      <c r="A13" s="5" t="inlineStr">
        <is>
          <t>Spectrum Line Language Center (Inglês Benjamim)</t>
        </is>
      </c>
      <c r="B13" s="9" t="inlineStr">
        <is>
          <t>PF</t>
        </is>
      </c>
      <c r="C13" s="7" t="inlineStr">
        <is>
          <t>Educação (Benjamim)</t>
        </is>
      </c>
      <c r="D13" s="6" t="n">
        <v>240</v>
      </c>
      <c r="E13" s="9" t="inlineStr">
        <is>
          <t>Até 15/10</t>
        </is>
      </c>
      <c r="F13" s="5" t="inlineStr">
        <is>
          <t>Educação</t>
        </is>
      </c>
      <c r="G13" s="7" t="inlineStr">
        <is>
          <t>Normal PF</t>
        </is>
      </c>
    </row>
    <row r="14">
      <c r="A14" s="5" t="inlineStr">
        <is>
          <t>CREA PF (Conselho Regional de Engenharia)</t>
        </is>
      </c>
      <c r="B14" s="9" t="inlineStr">
        <is>
          <t>PJ</t>
        </is>
      </c>
      <c r="C14" s="7" t="inlineStr">
        <is>
          <t>Custos Escritório</t>
        </is>
      </c>
      <c r="D14" s="6" t="n">
        <v>228.84</v>
      </c>
      <c r="E14" s="9" t="inlineStr">
        <is>
          <t>Até 15/10</t>
        </is>
      </c>
      <c r="F14" s="5" t="inlineStr">
        <is>
          <t>Registro Profissional</t>
        </is>
      </c>
      <c r="G14" s="7" t="inlineStr">
        <is>
          <t>Normal PJ</t>
        </is>
      </c>
    </row>
    <row r="15">
      <c r="A15" s="5" t="inlineStr">
        <is>
          <t>BB Previdência (Previdência Privada Complementar)</t>
        </is>
      </c>
      <c r="B15" s="9" t="inlineStr">
        <is>
          <t>PF</t>
        </is>
      </c>
      <c r="C15" s="7" t="inlineStr">
        <is>
          <t>Saúde &amp; Bem-Estar</t>
        </is>
      </c>
      <c r="D15" s="6" t="n">
        <v>226</v>
      </c>
      <c r="E15" s="9" t="inlineStr">
        <is>
          <t>Até 15/10</t>
        </is>
      </c>
      <c r="F15" s="5" t="inlineStr">
        <is>
          <t>Investimento Pessoal</t>
        </is>
      </c>
      <c r="G15" s="7" t="inlineStr">
        <is>
          <t>Normal PF</t>
        </is>
      </c>
    </row>
    <row r="16">
      <c r="A16" s="5" t="inlineStr">
        <is>
          <t>Receita Federal (INSS / DCTFWeb Moura Barretto)</t>
        </is>
      </c>
      <c r="B16" s="9" t="inlineStr">
        <is>
          <t>PJ</t>
        </is>
      </c>
      <c r="C16" s="7" t="inlineStr">
        <is>
          <t>Custos Escritório</t>
        </is>
      </c>
      <c r="D16" s="6" t="n">
        <v>220</v>
      </c>
      <c r="E16" s="9" t="inlineStr">
        <is>
          <t>Até 20/10</t>
        </is>
      </c>
      <c r="F16" s="5" t="inlineStr">
        <is>
          <t>Fiscal / Imposto</t>
        </is>
      </c>
      <c r="G16" s="7" t="inlineStr">
        <is>
          <t>Normal PJ</t>
        </is>
      </c>
    </row>
    <row r="17">
      <c r="A17" s="5" t="inlineStr">
        <is>
          <t>ABECE (Associação Brasileira de Engenharia Estrutural)</t>
        </is>
      </c>
      <c r="B17" s="9" t="inlineStr">
        <is>
          <t>PJ</t>
        </is>
      </c>
      <c r="C17" s="7" t="inlineStr">
        <is>
          <t>Custos Escritório</t>
        </is>
      </c>
      <c r="D17" s="6" t="n">
        <v>110</v>
      </c>
      <c r="E17" s="9" t="inlineStr">
        <is>
          <t>Até 28/10</t>
        </is>
      </c>
      <c r="F17" s="5" t="inlineStr">
        <is>
          <t>Associação Técnica</t>
        </is>
      </c>
      <c r="G17" s="7" t="inlineStr">
        <is>
          <t>Normal PJ</t>
        </is>
      </c>
    </row>
    <row r="18">
      <c r="A18" s="5" t="inlineStr">
        <is>
          <t>Tarifa Cesta Caixa PJ (Manutenção Conta)</t>
        </is>
      </c>
      <c r="B18" s="9" t="inlineStr">
        <is>
          <t>PJ</t>
        </is>
      </c>
      <c r="C18" s="7" t="inlineStr">
        <is>
          <t>Custos Escritório</t>
        </is>
      </c>
      <c r="D18" s="6" t="n">
        <v>73</v>
      </c>
      <c r="E18" s="9" t="inlineStr">
        <is>
          <t>Até 25/10</t>
        </is>
      </c>
      <c r="F18" s="5" t="inlineStr">
        <is>
          <t>Tarifa Bancária</t>
        </is>
      </c>
      <c r="G18" s="7" t="inlineStr">
        <is>
          <t>Normal PJ</t>
        </is>
      </c>
    </row>
    <row r="19">
      <c r="A19" s="13" t="inlineStr">
        <is>
          <t>TOTAL DE CONTAS PENDENTES EM OUTUBRO</t>
        </is>
      </c>
      <c r="D19" s="14">
        <f>SUM(D5:D18)</f>
        <v/>
      </c>
    </row>
  </sheetData>
  <mergeCells count="1">
    <mergeCell ref="A1:G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1" workbookViewId="0">
      <selection activeCell="A1" sqref="A1"/>
    </sheetView>
  </sheetViews>
  <sheetFormatPr baseColWidth="8" defaultRowHeight="15"/>
  <cols>
    <col width="38" customWidth="1" min="1" max="1"/>
    <col width="47" customWidth="1" min="2" max="2"/>
    <col width="37" customWidth="1" min="3" max="3"/>
    <col width="36" customWidth="1" min="4" max="4"/>
    <col width="27" customWidth="1" min="5" max="5"/>
    <col width="22" customWidth="1" min="6" max="6"/>
    <col width="27" customWidth="1" min="7" max="7"/>
  </cols>
  <sheetData>
    <row r="1">
      <c r="A1" s="15" t="inlineStr">
        <is>
          <t>CRUZAMENTO DE CONTAS &amp; TRANSIÇÃO PARA PRÓ-LABORE FORMAL</t>
        </is>
      </c>
    </row>
    <row r="2"/>
    <row r="3">
      <c r="A3" s="2" t="inlineStr">
        <is>
          <t>Diagnóstico da mistura de contas temporária e roteiro prático para instituir Pró-Labore fixo no próximo ciclo.</t>
        </is>
      </c>
    </row>
    <row r="4"/>
    <row r="5">
      <c r="A5" s="4" t="inlineStr">
        <is>
          <t>Mês / Competência</t>
        </is>
      </c>
      <c r="B5" s="4" t="inlineStr">
        <is>
          <t>Despesas PF Pagas pela PJ (Apto/Carro/Cemig)</t>
        </is>
      </c>
      <c r="C5" s="4" t="inlineStr">
        <is>
          <t>Receitas PJ Recebidas na PF (Wise)</t>
        </is>
      </c>
      <c r="D5" s="4" t="inlineStr">
        <is>
          <t>Retiradas Líquidas Reais do Sócio</t>
        </is>
      </c>
      <c r="E5" s="4" t="inlineStr">
        <is>
          <t>Pró-Labore Fixo Sugerido</t>
        </is>
      </c>
      <c r="F5" s="4" t="inlineStr">
        <is>
          <t>Diferença a Ajustar</t>
        </is>
      </c>
      <c r="G5" s="4" t="inlineStr">
        <is>
          <t>Diagnóstico</t>
        </is>
      </c>
    </row>
    <row r="6">
      <c r="A6" s="5" t="inlineStr">
        <is>
          <t>Setembro/2026</t>
        </is>
      </c>
      <c r="B6" s="6" t="n">
        <v>7930.36</v>
      </c>
      <c r="C6" s="6" t="n">
        <v>9360</v>
      </c>
      <c r="D6" s="6" t="n">
        <v>7275.36</v>
      </c>
      <c r="E6" s="6" t="n">
        <v>8500</v>
      </c>
      <c r="F6" s="6" t="n">
        <v>-1224.64</v>
      </c>
      <c r="G6" s="5" t="inlineStr">
        <is>
          <t>Equilibrado via Wise</t>
        </is>
      </c>
    </row>
    <row r="7">
      <c r="A7" s="5" t="inlineStr">
        <is>
          <t>Outubro/2026 (01 a 07)</t>
        </is>
      </c>
      <c r="B7" s="6" t="n">
        <v>2673.59</v>
      </c>
      <c r="C7" s="6" t="n">
        <v>8770.209999999999</v>
      </c>
      <c r="D7" s="6" t="n">
        <v>1673.59</v>
      </c>
      <c r="E7" s="6" t="n">
        <v>8500</v>
      </c>
      <c r="F7" s="6" t="n">
        <v>-6826.41</v>
      </c>
      <c r="G7" s="5" t="inlineStr">
        <is>
          <t>Apto R$ 1.673 pago na PJ</t>
        </is>
      </c>
    </row>
    <row r="8"/>
    <row r="9"/>
    <row r="10">
      <c r="A10" s="16" t="inlineStr">
        <is>
          <t>ROTEIRO PRÁTICO PARA TRANSIÇÃO PARA PRÓ-LABORE A PARTIR DO PRÓXIMO RECEBIMENTO</t>
        </is>
      </c>
    </row>
    <row r="11">
      <c r="A11" s="5" t="inlineStr">
        <is>
          <t>Passo 1: Definir o Valor Mensal</t>
        </is>
      </c>
      <c r="B11" s="7" t="inlineStr">
        <is>
          <t>Fixar um Pró-Labore / Distribuição de Lucros regular entre R$ 8.500 e R$ 10.000 mensais para cobrir todas as despesas da família.</t>
        </is>
      </c>
      <c r="C11" s="11" t="n"/>
      <c r="D11" s="11" t="n"/>
      <c r="E11" s="11" t="n"/>
      <c r="F11" s="11" t="n"/>
      <c r="G11" s="11" t="n"/>
    </row>
    <row r="12">
      <c r="A12" s="5" t="inlineStr">
        <is>
          <t>Passo 2: Dia Único de Transferência</t>
        </is>
      </c>
      <c r="B12" s="7" t="inlineStr">
        <is>
          <t>Todo dia 05 (ou na data que o Wise de Portugal cair), fazer uma única transferência formal da Conta PJ para a Conta PF com a descrição 'Pró-Labore / Distribuição de Lucros'.</t>
        </is>
      </c>
      <c r="C12" s="11" t="n"/>
      <c r="D12" s="11" t="n"/>
      <c r="E12" s="11" t="n"/>
      <c r="F12" s="11" t="n"/>
      <c r="G12" s="11" t="n"/>
    </row>
    <row r="13">
      <c r="A13" s="5" t="inlineStr">
        <is>
          <t>Passo 3: Blindagem da Conta PJ</t>
        </is>
      </c>
      <c r="B13" s="7" t="inlineStr">
        <is>
          <t>Após transferir o pró-labore, pagar na conta PJ EXCLUSIVAMENTE custos da empresa (estagiária, aluguel escritório, softwares, CREA, impostos).</t>
        </is>
      </c>
      <c r="C13" s="11" t="n"/>
      <c r="D13" s="11" t="n"/>
      <c r="E13" s="11" t="n"/>
      <c r="F13" s="11" t="n"/>
      <c r="G13" s="11" t="n"/>
    </row>
    <row r="14">
      <c r="A14" s="5" t="inlineStr">
        <is>
          <t>Passo 4: Pagamentos Pessoais no CPF</t>
        </is>
      </c>
      <c r="B14" s="7" t="inlineStr">
        <is>
          <t>Pagar parcela do carro, aluguel da casa, Cemig e condomínio de Feira de Santana rigorosamente a partir da conta pessoa física.</t>
        </is>
      </c>
      <c r="C14" s="11" t="n"/>
      <c r="D14" s="11" t="n"/>
      <c r="E14" s="11" t="n"/>
      <c r="F14" s="11" t="n"/>
      <c r="G14" s="11" t="n"/>
    </row>
    <row r="15">
      <c r="A15" s="5" t="inlineStr">
        <is>
          <t>Passo 5: Parcela de Salvador</t>
        </is>
      </c>
      <c r="B15" s="7" t="inlineStr">
        <is>
          <t>O boleto do Apto Salvador (Ocean Breeze) de R$ 1.673,59 passa a ser pago na conta PF, consolidando o patrimônio no nome da pessoa física.</t>
        </is>
      </c>
      <c r="C15" s="11" t="n"/>
      <c r="D15" s="11" t="n"/>
      <c r="E15" s="11" t="n"/>
      <c r="F15" s="11" t="n"/>
      <c r="G15" s="11" t="n"/>
    </row>
  </sheetData>
  <mergeCells count="7">
    <mergeCell ref="A1:G2"/>
    <mergeCell ref="B14:G14"/>
    <mergeCell ref="B12:G12"/>
    <mergeCell ref="B13:G13"/>
    <mergeCell ref="B15:G15"/>
    <mergeCell ref="A10:G10"/>
    <mergeCell ref="B11:G1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5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4" customWidth="1" min="3" max="3"/>
    <col width="19" customWidth="1" min="4" max="4"/>
    <col width="12" customWidth="1" min="5" max="5"/>
    <col width="17" customWidth="1" min="6" max="6"/>
    <col width="27" customWidth="1" min="7" max="7"/>
    <col width="28" customWidth="1" min="8" max="8"/>
    <col width="51" customWidth="1" min="9" max="9"/>
    <col width="13" customWidth="1" min="10" max="10"/>
    <col width="19" customWidth="1" min="11" max="11"/>
    <col width="20" customWidth="1" min="12" max="12"/>
    <col width="12" customWidth="1" min="13" max="13"/>
    <col width="57" customWidth="1" min="14" max="14"/>
  </cols>
  <sheetData>
    <row r="1">
      <c r="A1" s="4" t="inlineStr">
        <is>
          <t>ID</t>
        </is>
      </c>
      <c r="B1" s="4" t="inlineStr">
        <is>
          <t>Data</t>
        </is>
      </c>
      <c r="C1" s="4" t="inlineStr">
        <is>
          <t>Competência</t>
        </is>
      </c>
      <c r="D1" s="4" t="inlineStr">
        <is>
          <t>Conta / Cartão</t>
        </is>
      </c>
      <c r="E1" s="4" t="inlineStr">
        <is>
          <t>Entidade</t>
        </is>
      </c>
      <c r="F1" s="4" t="inlineStr">
        <is>
          <t>Tipo</t>
        </is>
      </c>
      <c r="G1" s="4" t="inlineStr">
        <is>
          <t>Categoria</t>
        </is>
      </c>
      <c r="H1" s="4" t="inlineStr">
        <is>
          <t>Subcategoria</t>
        </is>
      </c>
      <c r="I1" s="4" t="inlineStr">
        <is>
          <t>Descrição do Lançamento</t>
        </is>
      </c>
      <c r="J1" s="4" t="inlineStr">
        <is>
          <t>Valor (R$)</t>
        </is>
      </c>
      <c r="K1" s="4" t="inlineStr">
        <is>
          <t>Conta Pagadora</t>
        </is>
      </c>
      <c r="L1" s="4" t="inlineStr">
        <is>
          <t>Cruzamento</t>
        </is>
      </c>
      <c r="M1" s="4" t="inlineStr">
        <is>
          <t>Status</t>
        </is>
      </c>
      <c r="N1" s="4" t="inlineStr">
        <is>
          <t>Observações</t>
        </is>
      </c>
    </row>
    <row r="2">
      <c r="A2" s="9" t="n">
        <v>1001</v>
      </c>
      <c r="B2" s="9" t="inlineStr">
        <is>
          <t>2026-10-06</t>
        </is>
      </c>
      <c r="C2" s="9" t="inlineStr">
        <is>
          <t>10/2026</t>
        </is>
      </c>
      <c r="D2" s="7" t="inlineStr">
        <is>
          <t>Conta Nubank PF</t>
        </is>
      </c>
      <c r="E2" s="9" t="inlineStr">
        <is>
          <t>PJ</t>
        </is>
      </c>
      <c r="F2" s="9" t="inlineStr">
        <is>
          <t>Receita</t>
        </is>
      </c>
      <c r="G2" s="5" t="inlineStr">
        <is>
          <t>Receita Internacional</t>
        </is>
      </c>
      <c r="H2" s="7" t="inlineStr">
        <is>
          <t>Projetos Internacionais</t>
        </is>
      </c>
      <c r="I2" s="5" t="inlineStr">
        <is>
          <t>TDP Braga (Portugal) - Wise 1.575 €</t>
        </is>
      </c>
      <c r="J2" s="6" t="n">
        <v>8770.209999999999</v>
      </c>
      <c r="K2" s="7" t="inlineStr">
        <is>
          <t>Wise / PF</t>
        </is>
      </c>
      <c r="L2" s="5" t="inlineStr">
        <is>
          <t>PF recebeu PJ</t>
        </is>
      </c>
      <c r="M2" s="9" t="inlineStr">
        <is>
          <t>Liquidado</t>
        </is>
      </c>
      <c r="N2" s="17" t="inlineStr">
        <is>
          <t>Contrato recorrente internacional recebido no CPF</t>
        </is>
      </c>
    </row>
    <row r="3">
      <c r="A3" s="9" t="n">
        <v>1002</v>
      </c>
      <c r="B3" s="9" t="inlineStr">
        <is>
          <t>2026-10-07</t>
        </is>
      </c>
      <c r="C3" s="9" t="inlineStr">
        <is>
          <t>10/2026</t>
        </is>
      </c>
      <c r="D3" s="7" t="inlineStr">
        <is>
          <t>Conta Caixa PF</t>
        </is>
      </c>
      <c r="E3" s="9" t="inlineStr">
        <is>
          <t>PF</t>
        </is>
      </c>
      <c r="F3" s="9" t="inlineStr">
        <is>
          <t>Receita Neutra</t>
        </is>
      </c>
      <c r="G3" s="5" t="inlineStr">
        <is>
          <t>Presentes / Doações</t>
        </is>
      </c>
      <c r="H3" s="7" t="inlineStr">
        <is>
          <t>Presente Filho</t>
        </is>
      </c>
      <c r="I3" s="5" t="inlineStr">
        <is>
          <t>Juciara Moura Barretto (Mãe) - Presente Benjamim</t>
        </is>
      </c>
      <c r="J3" s="6" t="n">
        <v>400</v>
      </c>
      <c r="K3" s="7" t="inlineStr">
        <is>
          <t>Conta Caixa PF</t>
        </is>
      </c>
      <c r="L3" s="5" t="inlineStr">
        <is>
          <t>Neutro (Presente)</t>
        </is>
      </c>
      <c r="M3" s="9" t="inlineStr">
        <is>
          <t>Liquidado</t>
        </is>
      </c>
      <c r="N3" s="17" t="inlineStr">
        <is>
          <t>Presente da avó para o filho - Não tributável / Não operacional</t>
        </is>
      </c>
    </row>
    <row r="4">
      <c r="A4" s="9" t="n">
        <v>1003</v>
      </c>
      <c r="B4" s="9" t="inlineStr">
        <is>
          <t>2026-10-05</t>
        </is>
      </c>
      <c r="C4" s="9" t="inlineStr">
        <is>
          <t>10/2026</t>
        </is>
      </c>
      <c r="D4" s="7" t="inlineStr">
        <is>
          <t>Conta Caixa PJ</t>
        </is>
      </c>
      <c r="E4" s="9" t="inlineStr">
        <is>
          <t>PJ</t>
        </is>
      </c>
      <c r="F4" s="9" t="inlineStr">
        <is>
          <t>Despesa</t>
        </is>
      </c>
      <c r="G4" s="5" t="inlineStr">
        <is>
          <t>Custos Escritório</t>
        </is>
      </c>
      <c r="H4" s="7" t="inlineStr">
        <is>
          <t>Equipe &amp; Estágio</t>
        </is>
      </c>
      <c r="I4" s="5" t="inlineStr">
        <is>
          <t>Fernanda Mayra Campos Barretto (Estagiária)</t>
        </is>
      </c>
      <c r="J4" s="6" t="n">
        <v>1621</v>
      </c>
      <c r="K4" s="7" t="inlineStr">
        <is>
          <t>Conta Caixa PJ</t>
        </is>
      </c>
      <c r="L4" s="5" t="inlineStr">
        <is>
          <t>Normal PJ</t>
        </is>
      </c>
      <c r="M4" s="9" t="inlineStr">
        <is>
          <t>Liquidado</t>
        </is>
      </c>
      <c r="N4" s="17" t="inlineStr">
        <is>
          <t>Bolsa de estágio mensal</t>
        </is>
      </c>
    </row>
    <row r="5">
      <c r="A5" s="9" t="n">
        <v>1004</v>
      </c>
      <c r="B5" s="9" t="inlineStr">
        <is>
          <t>2026-10-05</t>
        </is>
      </c>
      <c r="C5" s="9" t="inlineStr">
        <is>
          <t>10/2026</t>
        </is>
      </c>
      <c r="D5" s="7" t="inlineStr">
        <is>
          <t>Conta Caixa PJ</t>
        </is>
      </c>
      <c r="E5" s="9" t="inlineStr">
        <is>
          <t>PJ</t>
        </is>
      </c>
      <c r="F5" s="9" t="inlineStr">
        <is>
          <t>Despesa</t>
        </is>
      </c>
      <c r="G5" s="5" t="inlineStr">
        <is>
          <t>Custos Escritório</t>
        </is>
      </c>
      <c r="H5" s="7" t="inlineStr">
        <is>
          <t>Tarifas Bancárias</t>
        </is>
      </c>
      <c r="I5" s="5" t="inlineStr">
        <is>
          <t>Tarifa Pix Caixa PJ (Estágio)</t>
        </is>
      </c>
      <c r="J5" s="6" t="n">
        <v>8.5</v>
      </c>
      <c r="K5" s="7" t="inlineStr">
        <is>
          <t>Conta Caixa PJ</t>
        </is>
      </c>
      <c r="L5" s="5" t="inlineStr">
        <is>
          <t>Normal PJ</t>
        </is>
      </c>
      <c r="M5" s="9" t="inlineStr">
        <is>
          <t>Liquidado</t>
        </is>
      </c>
      <c r="N5" s="17" t="inlineStr">
        <is>
          <t>Tarifa de transferência Pix</t>
        </is>
      </c>
    </row>
    <row r="6">
      <c r="A6" s="9" t="n">
        <v>1005</v>
      </c>
      <c r="B6" s="9" t="inlineStr">
        <is>
          <t>2026-10-05</t>
        </is>
      </c>
      <c r="C6" s="9" t="inlineStr">
        <is>
          <t>10/2026</t>
        </is>
      </c>
      <c r="D6" s="7" t="inlineStr">
        <is>
          <t>Conta Caixa PJ</t>
        </is>
      </c>
      <c r="E6" s="9" t="inlineStr">
        <is>
          <t>PF</t>
        </is>
      </c>
      <c r="F6" s="9" t="inlineStr">
        <is>
          <t>Despesa</t>
        </is>
      </c>
      <c r="G6" s="5" t="inlineStr">
        <is>
          <t>Investimento Patrimonial</t>
        </is>
      </c>
      <c r="H6" s="7" t="inlineStr">
        <is>
          <t>Apto Salvador (Na Planta)</t>
        </is>
      </c>
      <c r="I6" s="5" t="inlineStr">
        <is>
          <t>Apto Salvador Ocean Breeze (Parcela Construtora)</t>
        </is>
      </c>
      <c r="J6" s="6" t="n">
        <v>1673.59</v>
      </c>
      <c r="K6" s="7" t="inlineStr">
        <is>
          <t>Conta Caixa PJ</t>
        </is>
      </c>
      <c r="L6" s="5" t="inlineStr">
        <is>
          <t>PJ bancou PF</t>
        </is>
      </c>
      <c r="M6" s="9" t="inlineStr">
        <is>
          <t>Liquidado</t>
        </is>
      </c>
      <c r="N6" s="17" t="inlineStr">
        <is>
          <t>Parcela mensal do apto em construção paga na conta PJ!</t>
        </is>
      </c>
    </row>
    <row r="7">
      <c r="A7" s="9" t="n">
        <v>1006</v>
      </c>
      <c r="B7" s="9" t="inlineStr">
        <is>
          <t>2026-10-05</t>
        </is>
      </c>
      <c r="C7" s="9" t="inlineStr">
        <is>
          <t>10/2026</t>
        </is>
      </c>
      <c r="D7" s="7" t="inlineStr">
        <is>
          <t>Conta Caixa PJ</t>
        </is>
      </c>
      <c r="E7" s="9" t="inlineStr">
        <is>
          <t>PJ</t>
        </is>
      </c>
      <c r="F7" s="9" t="inlineStr">
        <is>
          <t>Despesa</t>
        </is>
      </c>
      <c r="G7" s="5" t="inlineStr">
        <is>
          <t>Custos Escritório</t>
        </is>
      </c>
      <c r="H7" s="7" t="inlineStr">
        <is>
          <t>Conectividade / Internet</t>
        </is>
      </c>
      <c r="I7" s="5" t="inlineStr">
        <is>
          <t>Internet Escritório Pouso Alegre (Pix)</t>
        </is>
      </c>
      <c r="J7" s="6" t="n">
        <v>99.90000000000001</v>
      </c>
      <c r="K7" s="7" t="inlineStr">
        <is>
          <t>Conta Caixa PJ</t>
        </is>
      </c>
      <c r="L7" s="5" t="inlineStr">
        <is>
          <t>Normal PJ</t>
        </is>
      </c>
      <c r="M7" s="9" t="inlineStr">
        <is>
          <t>Liquidado</t>
        </is>
      </c>
      <c r="N7" s="17" t="inlineStr">
        <is>
          <t>Conectividade do escritório</t>
        </is>
      </c>
    </row>
    <row r="8">
      <c r="A8" s="9" t="n">
        <v>1007</v>
      </c>
      <c r="B8" s="9" t="inlineStr">
        <is>
          <t>2026-10-02</t>
        </is>
      </c>
      <c r="C8" s="9" t="inlineStr">
        <is>
          <t>10/2026</t>
        </is>
      </c>
      <c r="D8" s="7" t="inlineStr">
        <is>
          <t>Conta Caixa PJ</t>
        </is>
      </c>
      <c r="E8" s="9" t="inlineStr">
        <is>
          <t>PJ</t>
        </is>
      </c>
      <c r="F8" s="9" t="inlineStr">
        <is>
          <t>Despesa</t>
        </is>
      </c>
      <c r="G8" s="5" t="inlineStr">
        <is>
          <t>Custos Escritório</t>
        </is>
      </c>
      <c r="H8" s="7" t="inlineStr">
        <is>
          <t>Serviços Operacionais</t>
        </is>
      </c>
      <c r="I8" s="5" t="inlineStr">
        <is>
          <t>E PIX QRD (Operacional)</t>
        </is>
      </c>
      <c r="J8" s="6" t="n">
        <v>121</v>
      </c>
      <c r="K8" s="7" t="inlineStr">
        <is>
          <t>Conta Caixa PJ</t>
        </is>
      </c>
      <c r="L8" s="5" t="inlineStr">
        <is>
          <t>Normal PJ</t>
        </is>
      </c>
      <c r="M8" s="9" t="inlineStr">
        <is>
          <t>Liquidado</t>
        </is>
      </c>
      <c r="N8" s="17" t="inlineStr">
        <is>
          <t>Despesa operacional</t>
        </is>
      </c>
    </row>
    <row r="9">
      <c r="A9" s="9" t="n">
        <v>1008</v>
      </c>
      <c r="B9" s="9" t="inlineStr">
        <is>
          <t>2026-10-05</t>
        </is>
      </c>
      <c r="C9" s="9" t="inlineStr">
        <is>
          <t>10/2026</t>
        </is>
      </c>
      <c r="D9" s="7" t="inlineStr">
        <is>
          <t>Conta Caixa PJ</t>
        </is>
      </c>
      <c r="E9" s="9" t="inlineStr">
        <is>
          <t>PJ</t>
        </is>
      </c>
      <c r="F9" s="9" t="inlineStr">
        <is>
          <t>Despesa</t>
        </is>
      </c>
      <c r="G9" s="5" t="inlineStr">
        <is>
          <t>Custos Escritório</t>
        </is>
      </c>
      <c r="H9" s="7" t="inlineStr">
        <is>
          <t>Serviços Operacionais</t>
        </is>
      </c>
      <c r="I9" s="5" t="inlineStr">
        <is>
          <t>ENV PIX QE (Operacional)</t>
        </is>
      </c>
      <c r="J9" s="6" t="n">
        <v>98.98999999999999</v>
      </c>
      <c r="K9" s="7" t="inlineStr">
        <is>
          <t>Conta Caixa PJ</t>
        </is>
      </c>
      <c r="L9" s="5" t="inlineStr">
        <is>
          <t>Normal PJ</t>
        </is>
      </c>
      <c r="M9" s="9" t="inlineStr">
        <is>
          <t>Liquidado</t>
        </is>
      </c>
      <c r="N9" s="17" t="inlineStr">
        <is>
          <t>Despesa operacional</t>
        </is>
      </c>
    </row>
    <row r="10">
      <c r="A10" s="9" t="n">
        <v>1009</v>
      </c>
      <c r="B10" s="9" t="inlineStr">
        <is>
          <t>2026-10-05</t>
        </is>
      </c>
      <c r="C10" s="9" t="inlineStr">
        <is>
          <t>10/2026</t>
        </is>
      </c>
      <c r="D10" s="7" t="inlineStr">
        <is>
          <t>Conta Caixa PJ</t>
        </is>
      </c>
      <c r="E10" s="9" t="inlineStr">
        <is>
          <t>PJ</t>
        </is>
      </c>
      <c r="F10" s="9" t="inlineStr">
        <is>
          <t>Despesa</t>
        </is>
      </c>
      <c r="G10" s="5" t="inlineStr">
        <is>
          <t>Custos Escritório</t>
        </is>
      </c>
      <c r="H10" s="7" t="inlineStr">
        <is>
          <t>Serviços Operacionais</t>
        </is>
      </c>
      <c r="I10" s="5" t="inlineStr">
        <is>
          <t>ENV PIX QE (Operacional)</t>
        </is>
      </c>
      <c r="J10" s="6" t="n">
        <v>84.45999999999999</v>
      </c>
      <c r="K10" s="7" t="inlineStr">
        <is>
          <t>Conta Caixa PJ</t>
        </is>
      </c>
      <c r="L10" s="5" t="inlineStr">
        <is>
          <t>Normal PJ</t>
        </is>
      </c>
      <c r="M10" s="9" t="inlineStr">
        <is>
          <t>Liquidado</t>
        </is>
      </c>
      <c r="N10" s="17" t="inlineStr">
        <is>
          <t>Despesa operacional</t>
        </is>
      </c>
    </row>
    <row r="11">
      <c r="A11" s="9" t="n">
        <v>1010</v>
      </c>
      <c r="B11" s="9" t="inlineStr">
        <is>
          <t>2026-10-05</t>
        </is>
      </c>
      <c r="C11" s="9" t="inlineStr">
        <is>
          <t>10/2026</t>
        </is>
      </c>
      <c r="D11" s="7" t="inlineStr">
        <is>
          <t>Conta Caixa PJ</t>
        </is>
      </c>
      <c r="E11" s="9" t="inlineStr">
        <is>
          <t>PJ</t>
        </is>
      </c>
      <c r="F11" s="9" t="inlineStr">
        <is>
          <t>Despesa</t>
        </is>
      </c>
      <c r="G11" s="5" t="inlineStr">
        <is>
          <t>Custos Escritório</t>
        </is>
      </c>
      <c r="H11" s="7" t="inlineStr">
        <is>
          <t>Serviços Operacionais</t>
        </is>
      </c>
      <c r="I11" s="5" t="inlineStr">
        <is>
          <t>E PIX QRD (Operacional)</t>
        </is>
      </c>
      <c r="J11" s="6" t="n">
        <v>60</v>
      </c>
      <c r="K11" s="7" t="inlineStr">
        <is>
          <t>Conta Caixa PJ</t>
        </is>
      </c>
      <c r="L11" s="5" t="inlineStr">
        <is>
          <t>Normal PJ</t>
        </is>
      </c>
      <c r="M11" s="9" t="inlineStr">
        <is>
          <t>Liquidado</t>
        </is>
      </c>
      <c r="N11" s="17" t="inlineStr">
        <is>
          <t>Despesa operacional</t>
        </is>
      </c>
    </row>
    <row r="12">
      <c r="A12" s="9" t="n">
        <v>1011</v>
      </c>
      <c r="B12" s="9" t="inlineStr">
        <is>
          <t>2026-10-05</t>
        </is>
      </c>
      <c r="C12" s="9" t="inlineStr">
        <is>
          <t>10/2026</t>
        </is>
      </c>
      <c r="D12" s="7" t="inlineStr">
        <is>
          <t>Conta Caixa PJ</t>
        </is>
      </c>
      <c r="E12" s="9" t="inlineStr">
        <is>
          <t>PJ</t>
        </is>
      </c>
      <c r="F12" s="9" t="inlineStr">
        <is>
          <t>Despesa</t>
        </is>
      </c>
      <c r="G12" s="5" t="inlineStr">
        <is>
          <t>Custos Escritório</t>
        </is>
      </c>
      <c r="H12" s="7" t="inlineStr">
        <is>
          <t>Serviços Operacionais</t>
        </is>
      </c>
      <c r="I12" s="5" t="inlineStr">
        <is>
          <t>E PIX QRD (Operacional)</t>
        </is>
      </c>
      <c r="J12" s="6" t="n">
        <v>35</v>
      </c>
      <c r="K12" s="7" t="inlineStr">
        <is>
          <t>Conta Caixa PJ</t>
        </is>
      </c>
      <c r="L12" s="5" t="inlineStr">
        <is>
          <t>Normal PJ</t>
        </is>
      </c>
      <c r="M12" s="9" t="inlineStr">
        <is>
          <t>Liquidado</t>
        </is>
      </c>
      <c r="N12" s="17" t="inlineStr">
        <is>
          <t>Despesa operacional</t>
        </is>
      </c>
    </row>
    <row r="13">
      <c r="A13" s="9" t="n">
        <v>1012</v>
      </c>
      <c r="B13" s="9" t="inlineStr">
        <is>
          <t>2026-10-05</t>
        </is>
      </c>
      <c r="C13" s="9" t="inlineStr">
        <is>
          <t>10/2026</t>
        </is>
      </c>
      <c r="D13" s="7" t="inlineStr">
        <is>
          <t>Conta Caixa PJ</t>
        </is>
      </c>
      <c r="E13" s="9" t="inlineStr">
        <is>
          <t>PJ</t>
        </is>
      </c>
      <c r="F13" s="9" t="inlineStr">
        <is>
          <t>Despesa</t>
        </is>
      </c>
      <c r="G13" s="5" t="inlineStr">
        <is>
          <t>Custos Escritório</t>
        </is>
      </c>
      <c r="H13" s="7" t="inlineStr">
        <is>
          <t>Serviços Operacionais</t>
        </is>
      </c>
      <c r="I13" s="5" t="inlineStr">
        <is>
          <t>ENV PIX QE (Operacional)</t>
        </is>
      </c>
      <c r="J13" s="6" t="n">
        <v>20</v>
      </c>
      <c r="K13" s="7" t="inlineStr">
        <is>
          <t>Conta Caixa PJ</t>
        </is>
      </c>
      <c r="L13" s="5" t="inlineStr">
        <is>
          <t>Normal PJ</t>
        </is>
      </c>
      <c r="M13" s="9" t="inlineStr">
        <is>
          <t>Liquidado</t>
        </is>
      </c>
      <c r="N13" s="17" t="inlineStr">
        <is>
          <t>Despesa operacional</t>
        </is>
      </c>
    </row>
    <row r="14">
      <c r="A14" s="9" t="n">
        <v>1013</v>
      </c>
      <c r="B14" s="9" t="inlineStr">
        <is>
          <t>2026-10-05</t>
        </is>
      </c>
      <c r="C14" s="9" t="inlineStr">
        <is>
          <t>10/2026</t>
        </is>
      </c>
      <c r="D14" s="7" t="inlineStr">
        <is>
          <t>Conta Caixa PJ</t>
        </is>
      </c>
      <c r="E14" s="9" t="inlineStr">
        <is>
          <t>PJ</t>
        </is>
      </c>
      <c r="F14" s="9" t="inlineStr">
        <is>
          <t>Despesa</t>
        </is>
      </c>
      <c r="G14" s="5" t="inlineStr">
        <is>
          <t>Custos Escritório</t>
        </is>
      </c>
      <c r="H14" s="7" t="inlineStr">
        <is>
          <t>Serviços Operacionais</t>
        </is>
      </c>
      <c r="I14" s="5" t="inlineStr">
        <is>
          <t>E PIX QRD (Operacional)</t>
        </is>
      </c>
      <c r="J14" s="6" t="n">
        <v>18</v>
      </c>
      <c r="K14" s="7" t="inlineStr">
        <is>
          <t>Conta Caixa PJ</t>
        </is>
      </c>
      <c r="L14" s="5" t="inlineStr">
        <is>
          <t>Normal PJ</t>
        </is>
      </c>
      <c r="M14" s="9" t="inlineStr">
        <is>
          <t>Liquidado</t>
        </is>
      </c>
      <c r="N14" s="17" t="inlineStr">
        <is>
          <t>Despesa operacional</t>
        </is>
      </c>
    </row>
    <row r="15">
      <c r="A15" s="9" t="n">
        <v>1014</v>
      </c>
      <c r="B15" s="9" t="inlineStr">
        <is>
          <t>2026-10-07</t>
        </is>
      </c>
      <c r="C15" s="9" t="inlineStr">
        <is>
          <t>10/2026</t>
        </is>
      </c>
      <c r="D15" s="7" t="inlineStr">
        <is>
          <t>Conta Caixa PJ</t>
        </is>
      </c>
      <c r="E15" s="9" t="inlineStr">
        <is>
          <t>PF</t>
        </is>
      </c>
      <c r="F15" s="9" t="inlineStr">
        <is>
          <t>Transferência</t>
        </is>
      </c>
      <c r="G15" s="5" t="inlineStr">
        <is>
          <t>Retirada de Pró-Labore</t>
        </is>
      </c>
      <c r="H15" s="7" t="inlineStr">
        <is>
          <t>Adiantamento Sócio</t>
        </is>
      </c>
      <c r="I15" s="5" t="inlineStr">
        <is>
          <t>Transferência Caixa PJ -&gt; Caixa PF Mateus</t>
        </is>
      </c>
      <c r="J15" s="6" t="n">
        <v>1000</v>
      </c>
      <c r="K15" s="7" t="inlineStr">
        <is>
          <t>Conta Caixa PJ</t>
        </is>
      </c>
      <c r="L15" s="5" t="inlineStr">
        <is>
          <t>PJ bancou PF</t>
        </is>
      </c>
      <c r="M15" s="9" t="inlineStr">
        <is>
          <t>Liquidado</t>
        </is>
      </c>
      <c r="N15" s="17" t="inlineStr">
        <is>
          <t>Adiantamento para pagamento da fatura Caixa PF</t>
        </is>
      </c>
    </row>
    <row r="16">
      <c r="A16" s="9" t="n">
        <v>1015</v>
      </c>
      <c r="B16" s="9" t="inlineStr">
        <is>
          <t>2026-10-07</t>
        </is>
      </c>
      <c r="C16" s="9" t="inlineStr">
        <is>
          <t>10/2026</t>
        </is>
      </c>
      <c r="D16" s="7" t="inlineStr">
        <is>
          <t>Conta Caixa PJ</t>
        </is>
      </c>
      <c r="E16" s="9" t="inlineStr">
        <is>
          <t>PJ</t>
        </is>
      </c>
      <c r="F16" s="9" t="inlineStr">
        <is>
          <t>Despesa</t>
        </is>
      </c>
      <c r="G16" s="5" t="inlineStr">
        <is>
          <t>Custos Escritório</t>
        </is>
      </c>
      <c r="H16" s="7" t="inlineStr">
        <is>
          <t>Tarifas Bancárias</t>
        </is>
      </c>
      <c r="I16" s="5" t="inlineStr">
        <is>
          <t>Tarifa Pix Caixa PJ (Transferência)</t>
        </is>
      </c>
      <c r="J16" s="6" t="n">
        <v>8.5</v>
      </c>
      <c r="K16" s="7" t="inlineStr">
        <is>
          <t>Conta Caixa PJ</t>
        </is>
      </c>
      <c r="L16" s="5" t="inlineStr">
        <is>
          <t>Normal PJ</t>
        </is>
      </c>
      <c r="M16" s="9" t="inlineStr">
        <is>
          <t>Liquidado</t>
        </is>
      </c>
      <c r="N16" s="17" t="inlineStr">
        <is>
          <t>Tarifa Pix</t>
        </is>
      </c>
    </row>
    <row r="17">
      <c r="A17" s="9" t="n">
        <v>1016</v>
      </c>
      <c r="B17" s="9" t="inlineStr">
        <is>
          <t>2026-10-01</t>
        </is>
      </c>
      <c r="C17" s="9" t="inlineStr">
        <is>
          <t>10/2026</t>
        </is>
      </c>
      <c r="D17" s="7" t="inlineStr">
        <is>
          <t>Conta Caixa PF</t>
        </is>
      </c>
      <c r="E17" s="9" t="inlineStr">
        <is>
          <t>PF</t>
        </is>
      </c>
      <c r="F17" s="9" t="inlineStr">
        <is>
          <t>Despesa</t>
        </is>
      </c>
      <c r="G17" s="5" t="inlineStr">
        <is>
          <t>Alimentação</t>
        </is>
      </c>
      <c r="H17" s="7" t="inlineStr">
        <is>
          <t>Supermercados</t>
        </is>
      </c>
      <c r="I17" s="5" t="inlineStr">
        <is>
          <t>Mercadinho 24h (Pix QR)</t>
        </is>
      </c>
      <c r="J17" s="6" t="n">
        <v>45.96</v>
      </c>
      <c r="K17" s="7" t="inlineStr">
        <is>
          <t>Conta Caixa PF</t>
        </is>
      </c>
      <c r="L17" s="5" t="inlineStr">
        <is>
          <t>Normal PF</t>
        </is>
      </c>
      <c r="M17" s="9" t="inlineStr">
        <is>
          <t>Liquidado</t>
        </is>
      </c>
      <c r="N17" s="17" t="inlineStr">
        <is>
          <t>Mercado reposição</t>
        </is>
      </c>
    </row>
    <row r="18">
      <c r="A18" s="9" t="n">
        <v>1017</v>
      </c>
      <c r="B18" s="9" t="inlineStr">
        <is>
          <t>2026-10-04</t>
        </is>
      </c>
      <c r="C18" s="9" t="inlineStr">
        <is>
          <t>10/2026</t>
        </is>
      </c>
      <c r="D18" s="7" t="inlineStr">
        <is>
          <t>Conta Caixa PF</t>
        </is>
      </c>
      <c r="E18" s="9" t="inlineStr">
        <is>
          <t>PF</t>
        </is>
      </c>
      <c r="F18" s="9" t="inlineStr">
        <is>
          <t>Despesa</t>
        </is>
      </c>
      <c r="G18" s="5" t="inlineStr">
        <is>
          <t>Alimentação</t>
        </is>
      </c>
      <c r="H18" s="7" t="inlineStr">
        <is>
          <t>Feira / Padaria</t>
        </is>
      </c>
      <c r="I18" s="5" t="inlineStr">
        <is>
          <t>Jose Messias Da Rosa (Feira Pix)</t>
        </is>
      </c>
      <c r="J18" s="6" t="n">
        <v>17</v>
      </c>
      <c r="K18" s="7" t="inlineStr">
        <is>
          <t>Conta Caixa PF</t>
        </is>
      </c>
      <c r="L18" s="5" t="inlineStr">
        <is>
          <t>Normal PF</t>
        </is>
      </c>
      <c r="M18" s="9" t="inlineStr">
        <is>
          <t>Liquidado</t>
        </is>
      </c>
      <c r="N18" s="17" t="inlineStr">
        <is>
          <t>Feira hortifrúti</t>
        </is>
      </c>
    </row>
    <row r="19">
      <c r="A19" s="9" t="n">
        <v>1018</v>
      </c>
      <c r="B19" s="9" t="inlineStr">
        <is>
          <t>2026-10-07</t>
        </is>
      </c>
      <c r="C19" s="9" t="inlineStr">
        <is>
          <t>10/2026</t>
        </is>
      </c>
      <c r="D19" s="7" t="inlineStr">
        <is>
          <t>Conta Caixa PF</t>
        </is>
      </c>
      <c r="E19" s="9" t="inlineStr">
        <is>
          <t>PF</t>
        </is>
      </c>
      <c r="F19" s="9" t="inlineStr">
        <is>
          <t>Transferência</t>
        </is>
      </c>
      <c r="G19" s="5" t="inlineStr">
        <is>
          <t>Pagamento Fatura</t>
        </is>
      </c>
      <c r="H19" s="7" t="inlineStr">
        <is>
          <t>Cartão Elo</t>
        </is>
      </c>
      <c r="I19" s="5" t="inlineStr">
        <is>
          <t>Pagamento Fatura Cartão Caixa Elo (Setembro)</t>
        </is>
      </c>
      <c r="J19" s="6" t="n">
        <v>1037.1</v>
      </c>
      <c r="K19" s="7" t="inlineStr">
        <is>
          <t>Conta Caixa PF</t>
        </is>
      </c>
      <c r="L19" s="5" t="inlineStr">
        <is>
          <t>Normal PF</t>
        </is>
      </c>
      <c r="M19" s="9" t="inlineStr">
        <is>
          <t>Liquidado</t>
        </is>
      </c>
      <c r="N19" s="17" t="inlineStr">
        <is>
          <t>Fatura de Setembro liquidada</t>
        </is>
      </c>
    </row>
    <row r="20">
      <c r="A20" s="9" t="n">
        <v>1019</v>
      </c>
      <c r="B20" s="9" t="inlineStr">
        <is>
          <t>2026-10-27</t>
        </is>
      </c>
      <c r="C20" s="9" t="inlineStr">
        <is>
          <t>10/2026</t>
        </is>
      </c>
      <c r="D20" s="7" t="inlineStr">
        <is>
          <t>Cartão Caixa PF</t>
        </is>
      </c>
      <c r="E20" s="9" t="inlineStr">
        <is>
          <t>PF</t>
        </is>
      </c>
      <c r="F20" s="9" t="inlineStr">
        <is>
          <t>Despesa</t>
        </is>
      </c>
      <c r="G20" s="5" t="inlineStr">
        <is>
          <t>Compras &amp; Lazer</t>
        </is>
      </c>
      <c r="H20" s="7" t="inlineStr">
        <is>
          <t>Tarifas Cartão</t>
        </is>
      </c>
      <c r="I20" s="5" t="inlineStr">
        <is>
          <t>Anuidade Nacional Titular (03/12)</t>
        </is>
      </c>
      <c r="J20" s="6" t="n">
        <v>5.25</v>
      </c>
      <c r="K20" s="7" t="inlineStr">
        <is>
          <t>Cartão Caixa PF</t>
        </is>
      </c>
      <c r="L20" s="5" t="inlineStr">
        <is>
          <t>Normal PF</t>
        </is>
      </c>
      <c r="M20" s="9" t="inlineStr">
        <is>
          <t>Liquidado</t>
        </is>
      </c>
      <c r="N20" s="17" t="inlineStr">
        <is>
          <t>Anuidade cartão</t>
        </is>
      </c>
    </row>
    <row r="21">
      <c r="A21" s="9" t="n">
        <v>1020</v>
      </c>
      <c r="B21" s="9" t="inlineStr">
        <is>
          <t>2026-10-05</t>
        </is>
      </c>
      <c r="C21" s="9" t="inlineStr">
        <is>
          <t>10/2026</t>
        </is>
      </c>
      <c r="D21" s="7" t="inlineStr">
        <is>
          <t>Cartão Nubank PJ</t>
        </is>
      </c>
      <c r="E21" s="9" t="inlineStr">
        <is>
          <t>PJ</t>
        </is>
      </c>
      <c r="F21" s="9" t="inlineStr">
        <is>
          <t>Despesa</t>
        </is>
      </c>
      <c r="G21" s="5" t="inlineStr">
        <is>
          <t>Custos Escritório</t>
        </is>
      </c>
      <c r="H21" s="7" t="inlineStr">
        <is>
          <t>Viagens &amp; Deslocamento</t>
        </is>
      </c>
      <c r="I21" s="5" t="inlineStr">
        <is>
          <t>Latam Linhas Aéreas (Passagem Trabalho)</t>
        </is>
      </c>
      <c r="J21" s="6" t="n">
        <v>642.49</v>
      </c>
      <c r="K21" s="7" t="inlineStr">
        <is>
          <t>Cartão Nubank PJ</t>
        </is>
      </c>
      <c r="L21" s="5" t="inlineStr">
        <is>
          <t>Normal PJ</t>
        </is>
      </c>
      <c r="M21" s="9" t="inlineStr">
        <is>
          <t>Liquidado</t>
        </is>
      </c>
      <c r="N21" s="17" t="inlineStr">
        <is>
          <t>Deslocamento técnico projeto</t>
        </is>
      </c>
    </row>
    <row r="22">
      <c r="A22" s="9" t="n">
        <v>1021</v>
      </c>
      <c r="B22" s="9" t="inlineStr">
        <is>
          <t>2026-10-02</t>
        </is>
      </c>
      <c r="C22" s="9" t="inlineStr">
        <is>
          <t>10/2026</t>
        </is>
      </c>
      <c r="D22" s="7" t="inlineStr">
        <is>
          <t>Cartão Nubank PJ</t>
        </is>
      </c>
      <c r="E22" s="9" t="inlineStr">
        <is>
          <t>PJ</t>
        </is>
      </c>
      <c r="F22" s="9" t="inlineStr">
        <is>
          <t>Despesa</t>
        </is>
      </c>
      <c r="G22" s="5" t="inlineStr">
        <is>
          <t>Custos Escritório</t>
        </is>
      </c>
      <c r="H22" s="7" t="inlineStr">
        <is>
          <t>Softwares &amp; TI</t>
        </is>
      </c>
      <c r="I22" s="5" t="inlineStr">
        <is>
          <t>Google Workspace</t>
        </is>
      </c>
      <c r="J22" s="6" t="n">
        <v>98</v>
      </c>
      <c r="K22" s="7" t="inlineStr">
        <is>
          <t>Cartão Nubank PJ</t>
        </is>
      </c>
      <c r="L22" s="5" t="inlineStr">
        <is>
          <t>Normal PJ</t>
        </is>
      </c>
      <c r="M22" s="9" t="inlineStr">
        <is>
          <t>Liquidado</t>
        </is>
      </c>
      <c r="N22" s="17" t="inlineStr">
        <is>
          <t>E-mail / Drive corporativo</t>
        </is>
      </c>
    </row>
    <row r="23">
      <c r="A23" s="9" t="n">
        <v>1022</v>
      </c>
      <c r="B23" s="9" t="inlineStr">
        <is>
          <t>2026-10-01</t>
        </is>
      </c>
      <c r="C23" s="9" t="inlineStr">
        <is>
          <t>10/2026</t>
        </is>
      </c>
      <c r="D23" s="7" t="inlineStr">
        <is>
          <t>Cartão Nubank PJ</t>
        </is>
      </c>
      <c r="E23" s="9" t="inlineStr">
        <is>
          <t>PJ</t>
        </is>
      </c>
      <c r="F23" s="9" t="inlineStr">
        <is>
          <t>Despesa</t>
        </is>
      </c>
      <c r="G23" s="5" t="inlineStr">
        <is>
          <t>Custos Escritório</t>
        </is>
      </c>
      <c r="H23" s="7" t="inlineStr">
        <is>
          <t>Softwares &amp; TI</t>
        </is>
      </c>
      <c r="I23" s="5" t="inlineStr">
        <is>
          <t>OpenAI ChatGPT Subscription</t>
        </is>
      </c>
      <c r="J23" s="6" t="n">
        <v>103.13</v>
      </c>
      <c r="K23" s="7" t="inlineStr">
        <is>
          <t>Cartão Nubank PJ</t>
        </is>
      </c>
      <c r="L23" s="5" t="inlineStr">
        <is>
          <t>Normal PJ</t>
        </is>
      </c>
      <c r="M23" s="9" t="inlineStr">
        <is>
          <t>Liquidado</t>
        </is>
      </c>
      <c r="N23" s="17" t="inlineStr">
        <is>
          <t>Assinatura IA técnica</t>
        </is>
      </c>
    </row>
    <row r="24">
      <c r="A24" s="9" t="n">
        <v>1023</v>
      </c>
      <c r="B24" s="9" t="inlineStr">
        <is>
          <t>2026-10-01</t>
        </is>
      </c>
      <c r="C24" s="9" t="inlineStr">
        <is>
          <t>10/2026</t>
        </is>
      </c>
      <c r="D24" s="7" t="inlineStr">
        <is>
          <t>Cartão Nubank PJ</t>
        </is>
      </c>
      <c r="E24" s="9" t="inlineStr">
        <is>
          <t>PJ</t>
        </is>
      </c>
      <c r="F24" s="9" t="inlineStr">
        <is>
          <t>Despesa</t>
        </is>
      </c>
      <c r="G24" s="5" t="inlineStr">
        <is>
          <t>Custos Escritório</t>
        </is>
      </c>
      <c r="H24" s="7" t="inlineStr">
        <is>
          <t>Tributos &amp; Taxas</t>
        </is>
      </c>
      <c r="I24" s="5" t="inlineStr">
        <is>
          <t>IOF Compra Internacional (OpenAI)</t>
        </is>
      </c>
      <c r="J24" s="6" t="n">
        <v>3.6</v>
      </c>
      <c r="K24" s="7" t="inlineStr">
        <is>
          <t>Cartão Nubank PJ</t>
        </is>
      </c>
      <c r="L24" s="5" t="inlineStr">
        <is>
          <t>Normal PJ</t>
        </is>
      </c>
      <c r="M24" s="9" t="inlineStr">
        <is>
          <t>Liquidado</t>
        </is>
      </c>
      <c r="N24" s="17" t="inlineStr">
        <is>
          <t>IOF cartão corporativo</t>
        </is>
      </c>
    </row>
    <row r="25">
      <c r="A25" s="9" t="n">
        <v>1024</v>
      </c>
      <c r="B25" s="9" t="inlineStr">
        <is>
          <t>2026-09-30</t>
        </is>
      </c>
      <c r="C25" s="9" t="inlineStr">
        <is>
          <t>10/2026</t>
        </is>
      </c>
      <c r="D25" s="7" t="inlineStr">
        <is>
          <t>Cartão Nubank PJ</t>
        </is>
      </c>
      <c r="E25" s="9" t="inlineStr">
        <is>
          <t>PJ</t>
        </is>
      </c>
      <c r="F25" s="9" t="inlineStr">
        <is>
          <t>Despesa</t>
        </is>
      </c>
      <c r="G25" s="5" t="inlineStr">
        <is>
          <t>Custos Escritório</t>
        </is>
      </c>
      <c r="H25" s="7" t="inlineStr">
        <is>
          <t>Viagens &amp; Deslocamento</t>
        </is>
      </c>
      <c r="I25" s="5" t="inlineStr">
        <is>
          <t>Gol Linhas Aéreas - Parcela 3/3</t>
        </is>
      </c>
      <c r="J25" s="6" t="n">
        <v>246.57</v>
      </c>
      <c r="K25" s="7" t="inlineStr">
        <is>
          <t>Cartão Nubank PJ</t>
        </is>
      </c>
      <c r="L25" s="5" t="inlineStr">
        <is>
          <t>Normal PJ</t>
        </is>
      </c>
      <c r="M25" s="9" t="inlineStr">
        <is>
          <t>Liquidado</t>
        </is>
      </c>
      <c r="N25" s="17" t="inlineStr">
        <is>
          <t>ÚLTIMA PARCELA 3/3 - ENCERRADA! Alívio em Novembro!</t>
        </is>
      </c>
    </row>
    <row r="26">
      <c r="A26" s="9" t="n">
        <v>1025</v>
      </c>
      <c r="B26" s="9" t="inlineStr">
        <is>
          <t>2026-09-30</t>
        </is>
      </c>
      <c r="C26" s="9" t="inlineStr">
        <is>
          <t>10/2026</t>
        </is>
      </c>
      <c r="D26" s="7" t="inlineStr">
        <is>
          <t>Cartão Nubank PJ</t>
        </is>
      </c>
      <c r="E26" s="9" t="inlineStr">
        <is>
          <t>PJ</t>
        </is>
      </c>
      <c r="F26" s="9" t="inlineStr">
        <is>
          <t>Despesa</t>
        </is>
      </c>
      <c r="G26" s="5" t="inlineStr">
        <is>
          <t>Custos Escritório</t>
        </is>
      </c>
      <c r="H26" s="7" t="inlineStr">
        <is>
          <t>Operação &amp; Frota</t>
        </is>
      </c>
      <c r="I26" s="5" t="inlineStr">
        <is>
          <t>Azul Seguros Veicular - Parcela 10/10</t>
        </is>
      </c>
      <c r="J26" s="6" t="n">
        <v>238.77</v>
      </c>
      <c r="K26" s="7" t="inlineStr">
        <is>
          <t>Cartão Nubank PJ</t>
        </is>
      </c>
      <c r="L26" s="5" t="inlineStr">
        <is>
          <t>Normal PJ</t>
        </is>
      </c>
      <c r="M26" s="9" t="inlineStr">
        <is>
          <t>Liquidado</t>
        </is>
      </c>
      <c r="N26" s="17" t="inlineStr">
        <is>
          <t>ÚLTIMA PARCELA 10/10 - ENCERRADA! Alívio em Novembro!</t>
        </is>
      </c>
    </row>
    <row r="27">
      <c r="A27" s="9" t="n">
        <v>1026</v>
      </c>
      <c r="B27" s="9" t="inlineStr">
        <is>
          <t>2026-10-04</t>
        </is>
      </c>
      <c r="C27" s="9" t="inlineStr">
        <is>
          <t>10/2026</t>
        </is>
      </c>
      <c r="D27" s="7" t="inlineStr">
        <is>
          <t>Cartão Nubank PF</t>
        </is>
      </c>
      <c r="E27" s="9" t="inlineStr">
        <is>
          <t>PF</t>
        </is>
      </c>
      <c r="F27" s="9" t="inlineStr">
        <is>
          <t>Despesa</t>
        </is>
      </c>
      <c r="G27" s="5" t="inlineStr">
        <is>
          <t>Alimentação</t>
        </is>
      </c>
      <c r="H27" s="7" t="inlineStr">
        <is>
          <t>Supermercados</t>
        </is>
      </c>
      <c r="I27" s="5" t="inlineStr">
        <is>
          <t>Economart (Atacado - Compra do Mês)</t>
        </is>
      </c>
      <c r="J27" s="6" t="n">
        <v>1379.07</v>
      </c>
      <c r="K27" s="7" t="inlineStr">
        <is>
          <t>Cartão Nubank PF</t>
        </is>
      </c>
      <c r="L27" s="5" t="inlineStr">
        <is>
          <t>Normal PF</t>
        </is>
      </c>
      <c r="M27" s="9" t="inlineStr">
        <is>
          <t>Liquidado</t>
        </is>
      </c>
      <c r="N27" s="17" t="inlineStr">
        <is>
          <t>Grande compra mensal de mantimentos da casa</t>
        </is>
      </c>
    </row>
    <row r="28">
      <c r="A28" s="9" t="n">
        <v>1027</v>
      </c>
      <c r="B28" s="9" t="inlineStr">
        <is>
          <t>2026-09-30</t>
        </is>
      </c>
      <c r="C28" s="9" t="inlineStr">
        <is>
          <t>10/2026</t>
        </is>
      </c>
      <c r="D28" s="7" t="inlineStr">
        <is>
          <t>Cartão Nubank PF</t>
        </is>
      </c>
      <c r="E28" s="9" t="inlineStr">
        <is>
          <t>PF</t>
        </is>
      </c>
      <c r="F28" s="9" t="inlineStr">
        <is>
          <t>Despesa</t>
        </is>
      </c>
      <c r="G28" s="5" t="inlineStr">
        <is>
          <t>Transporte &amp; Veículos</t>
        </is>
      </c>
      <c r="H28" s="7" t="inlineStr">
        <is>
          <t>Passagens Aéreas</t>
        </is>
      </c>
      <c r="I28" s="5" t="inlineStr">
        <is>
          <t>Latam Linhas Aéreas - Parcela 4/4</t>
        </is>
      </c>
      <c r="J28" s="6" t="n">
        <v>426.53</v>
      </c>
      <c r="K28" s="7" t="inlineStr">
        <is>
          <t>Cartão Nubank PF</t>
        </is>
      </c>
      <c r="L28" s="5" t="inlineStr">
        <is>
          <t>Normal PF</t>
        </is>
      </c>
      <c r="M28" s="9" t="inlineStr">
        <is>
          <t>Liquidado</t>
        </is>
      </c>
      <c r="N28" s="17" t="inlineStr">
        <is>
          <t>ÚLTIMA PARCELA 4/4 - ENCERRADA! Alívio em Novembro!</t>
        </is>
      </c>
    </row>
    <row r="29">
      <c r="A29" s="9" t="n">
        <v>1028</v>
      </c>
      <c r="B29" s="9" t="inlineStr">
        <is>
          <t>2026-09-30</t>
        </is>
      </c>
      <c r="C29" s="9" t="inlineStr">
        <is>
          <t>10/2026</t>
        </is>
      </c>
      <c r="D29" s="7" t="inlineStr">
        <is>
          <t>Cartão Nubank PF</t>
        </is>
      </c>
      <c r="E29" s="9" t="inlineStr">
        <is>
          <t>PF</t>
        </is>
      </c>
      <c r="F29" s="9" t="inlineStr">
        <is>
          <t>Despesa</t>
        </is>
      </c>
      <c r="G29" s="5" t="inlineStr">
        <is>
          <t>Saúde &amp; Bem-Estar</t>
        </is>
      </c>
      <c r="H29" s="7" t="inlineStr">
        <is>
          <t>Atividades Físicas</t>
        </is>
      </c>
      <c r="I29" s="5" t="inlineStr">
        <is>
          <t>Respect 4 Jiu-Jitsu - Parcela 3/3</t>
        </is>
      </c>
      <c r="J29" s="6" t="n">
        <v>165</v>
      </c>
      <c r="K29" s="7" t="inlineStr">
        <is>
          <t>Cartão Nubank PF</t>
        </is>
      </c>
      <c r="L29" s="5" t="inlineStr">
        <is>
          <t>Normal PF</t>
        </is>
      </c>
      <c r="M29" s="9" t="inlineStr">
        <is>
          <t>Liquidado</t>
        </is>
      </c>
      <c r="N29" s="17" t="inlineStr">
        <is>
          <t>ÚLTIMA PARCELA 3/3 - ENCERRADA! Alívio em Novembro!</t>
        </is>
      </c>
    </row>
    <row r="30">
      <c r="A30" s="9" t="n">
        <v>1029</v>
      </c>
      <c r="B30" s="9" t="inlineStr">
        <is>
          <t>2026-09-30</t>
        </is>
      </c>
      <c r="C30" s="9" t="inlineStr">
        <is>
          <t>10/2026</t>
        </is>
      </c>
      <c r="D30" s="7" t="inlineStr">
        <is>
          <t>Cartão Nubank PF</t>
        </is>
      </c>
      <c r="E30" s="9" t="inlineStr">
        <is>
          <t>PF</t>
        </is>
      </c>
      <c r="F30" s="9" t="inlineStr">
        <is>
          <t>Despesa</t>
        </is>
      </c>
      <c r="G30" s="5" t="inlineStr">
        <is>
          <t>Compras &amp; Lazer</t>
        </is>
      </c>
      <c r="H30" s="7" t="inlineStr">
        <is>
          <t>Parcelamentos Antigos</t>
        </is>
      </c>
      <c r="I30" s="5" t="inlineStr">
        <is>
          <t>Pg *Pza Comercio - Parcela 4/6</t>
        </is>
      </c>
      <c r="J30" s="6" t="n">
        <v>111.63</v>
      </c>
      <c r="K30" s="7" t="inlineStr">
        <is>
          <t>Cartão Nubank PF</t>
        </is>
      </c>
      <c r="L30" s="5" t="inlineStr">
        <is>
          <t>Normal PF</t>
        </is>
      </c>
      <c r="M30" s="9" t="inlineStr">
        <is>
          <t>Liquidado</t>
        </is>
      </c>
      <c r="N30" s="17" t="inlineStr">
        <is>
          <t>Parcela 4 de 6</t>
        </is>
      </c>
    </row>
    <row r="31">
      <c r="A31" s="9" t="n">
        <v>1030</v>
      </c>
      <c r="B31" s="9" t="inlineStr">
        <is>
          <t>2026-10-04</t>
        </is>
      </c>
      <c r="C31" s="9" t="inlineStr">
        <is>
          <t>10/2026</t>
        </is>
      </c>
      <c r="D31" s="7" t="inlineStr">
        <is>
          <t>Cartão Nubank PF</t>
        </is>
      </c>
      <c r="E31" s="9" t="inlineStr">
        <is>
          <t>PF</t>
        </is>
      </c>
      <c r="F31" s="9" t="inlineStr">
        <is>
          <t>Despesa</t>
        </is>
      </c>
      <c r="G31" s="5" t="inlineStr">
        <is>
          <t>Saúde &amp; Bem-Estar</t>
        </is>
      </c>
      <c r="H31" s="7" t="inlineStr">
        <is>
          <t>Farmácia</t>
        </is>
      </c>
      <c r="I31" s="5" t="inlineStr">
        <is>
          <t>Raia Drogasil - Parcela 1/3</t>
        </is>
      </c>
      <c r="J31" s="6" t="n">
        <v>112.91</v>
      </c>
      <c r="K31" s="7" t="inlineStr">
        <is>
          <t>Cartão Nubank PF</t>
        </is>
      </c>
      <c r="L31" s="5" t="inlineStr">
        <is>
          <t>Normal PF</t>
        </is>
      </c>
      <c r="M31" s="9" t="inlineStr">
        <is>
          <t>Liquidado</t>
        </is>
      </c>
      <c r="N31" s="17" t="inlineStr">
        <is>
          <t>Medicamentos (Parcela 1 de 3)</t>
        </is>
      </c>
    </row>
    <row r="32">
      <c r="A32" s="9" t="n">
        <v>1031</v>
      </c>
      <c r="B32" s="9" t="inlineStr">
        <is>
          <t>2026-09-30</t>
        </is>
      </c>
      <c r="C32" s="9" t="inlineStr">
        <is>
          <t>10/2026</t>
        </is>
      </c>
      <c r="D32" s="7" t="inlineStr">
        <is>
          <t>Cartão Nubank PF</t>
        </is>
      </c>
      <c r="E32" s="9" t="inlineStr">
        <is>
          <t>PF</t>
        </is>
      </c>
      <c r="F32" s="9" t="inlineStr">
        <is>
          <t>Despesa</t>
        </is>
      </c>
      <c r="G32" s="5" t="inlineStr">
        <is>
          <t>Compras &amp; Lazer</t>
        </is>
      </c>
      <c r="H32" s="7" t="inlineStr">
        <is>
          <t>Vestuário / Casa</t>
        </is>
      </c>
      <c r="I32" s="5" t="inlineStr">
        <is>
          <t>Novaalianca</t>
        </is>
      </c>
      <c r="J32" s="6" t="n">
        <v>100</v>
      </c>
      <c r="K32" s="7" t="inlineStr">
        <is>
          <t>Cartão Nubank PF</t>
        </is>
      </c>
      <c r="L32" s="5" t="inlineStr">
        <is>
          <t>Normal PF</t>
        </is>
      </c>
      <c r="M32" s="9" t="inlineStr">
        <is>
          <t>Liquidado</t>
        </is>
      </c>
      <c r="N32" s="17" t="inlineStr">
        <is>
          <t>Compras pessoais</t>
        </is>
      </c>
    </row>
    <row r="33">
      <c r="A33" s="9" t="n">
        <v>1032</v>
      </c>
      <c r="B33" s="9" t="inlineStr">
        <is>
          <t>2026-10-05</t>
        </is>
      </c>
      <c r="C33" s="9" t="inlineStr">
        <is>
          <t>10/2026</t>
        </is>
      </c>
      <c r="D33" s="7" t="inlineStr">
        <is>
          <t>Cartão Nubank PF</t>
        </is>
      </c>
      <c r="E33" s="9" t="inlineStr">
        <is>
          <t>PF</t>
        </is>
      </c>
      <c r="F33" s="9" t="inlineStr">
        <is>
          <t>Despesa</t>
        </is>
      </c>
      <c r="G33" s="5" t="inlineStr">
        <is>
          <t>Alimentação</t>
        </is>
      </c>
      <c r="H33" s="7" t="inlineStr">
        <is>
          <t>Lanches &amp; Sobremesas</t>
        </is>
      </c>
      <c r="I33" s="5" t="inlineStr">
        <is>
          <t>Acai do Brunao Ribeira</t>
        </is>
      </c>
      <c r="J33" s="6" t="n">
        <v>100</v>
      </c>
      <c r="K33" s="7" t="inlineStr">
        <is>
          <t>Cartão Nubank PF</t>
        </is>
      </c>
      <c r="L33" s="5" t="inlineStr">
        <is>
          <t>Normal PF</t>
        </is>
      </c>
      <c r="M33" s="9" t="inlineStr">
        <is>
          <t>Liquidado</t>
        </is>
      </c>
      <c r="N33" s="17" t="inlineStr">
        <is>
          <t>Lanches</t>
        </is>
      </c>
    </row>
    <row r="34">
      <c r="A34" s="9" t="n">
        <v>1033</v>
      </c>
      <c r="B34" s="9" t="inlineStr">
        <is>
          <t>2026-10-07</t>
        </is>
      </c>
      <c r="C34" s="9" t="inlineStr">
        <is>
          <t>10/2026</t>
        </is>
      </c>
      <c r="D34" s="7" t="inlineStr">
        <is>
          <t>Cartão Nubank PF</t>
        </is>
      </c>
      <c r="E34" s="9" t="inlineStr">
        <is>
          <t>PF</t>
        </is>
      </c>
      <c r="F34" s="9" t="inlineStr">
        <is>
          <t>Despesa</t>
        </is>
      </c>
      <c r="G34" s="5" t="inlineStr">
        <is>
          <t>Moradia (Pouso Alegre)</t>
        </is>
      </c>
      <c r="H34" s="7" t="inlineStr">
        <is>
          <t>Conectividade / Telefone</t>
        </is>
      </c>
      <c r="I34" s="5" t="inlineStr">
        <is>
          <t>Tim *75992503292</t>
        </is>
      </c>
      <c r="J34" s="6" t="n">
        <v>60.35</v>
      </c>
      <c r="K34" s="7" t="inlineStr">
        <is>
          <t>Cartão Nubank PF</t>
        </is>
      </c>
      <c r="L34" s="5" t="inlineStr">
        <is>
          <t>Normal PF</t>
        </is>
      </c>
      <c r="M34" s="9" t="inlineStr">
        <is>
          <t>Liquidado</t>
        </is>
      </c>
      <c r="N34" s="17" t="inlineStr">
        <is>
          <t>Telefonia celular</t>
        </is>
      </c>
    </row>
    <row r="35">
      <c r="A35" s="9" t="n">
        <v>1034</v>
      </c>
      <c r="B35" s="9" t="inlineStr">
        <is>
          <t>2026-10-05</t>
        </is>
      </c>
      <c r="C35" s="9" t="inlineStr">
        <is>
          <t>10/2026</t>
        </is>
      </c>
      <c r="D35" s="7" t="inlineStr">
        <is>
          <t>Cartão Nubank PF</t>
        </is>
      </c>
      <c r="E35" s="9" t="inlineStr">
        <is>
          <t>PF</t>
        </is>
      </c>
      <c r="F35" s="9" t="inlineStr">
        <is>
          <t>Despesa</t>
        </is>
      </c>
      <c r="G35" s="5" t="inlineStr">
        <is>
          <t>Alimentação</t>
        </is>
      </c>
      <c r="H35" s="7" t="inlineStr">
        <is>
          <t>Restaurantes &amp; Lanches</t>
        </is>
      </c>
      <c r="I35" s="5" t="inlineStr">
        <is>
          <t>Mariajandirade</t>
        </is>
      </c>
      <c r="J35" s="6" t="n">
        <v>55.5</v>
      </c>
      <c r="K35" s="7" t="inlineStr">
        <is>
          <t>Cartão Nubank PF</t>
        </is>
      </c>
      <c r="L35" s="5" t="inlineStr">
        <is>
          <t>Normal PF</t>
        </is>
      </c>
      <c r="M35" s="9" t="inlineStr">
        <is>
          <t>Liquidado</t>
        </is>
      </c>
      <c r="N35" s="17" t="inlineStr">
        <is>
          <t>Alimentação</t>
        </is>
      </c>
    </row>
    <row r="36">
      <c r="A36" s="9" t="n">
        <v>1035</v>
      </c>
      <c r="B36" s="9" t="inlineStr">
        <is>
          <t>2026-10-04</t>
        </is>
      </c>
      <c r="C36" s="9" t="inlineStr">
        <is>
          <t>10/2026</t>
        </is>
      </c>
      <c r="D36" s="7" t="inlineStr">
        <is>
          <t>Cartão Nubank PF</t>
        </is>
      </c>
      <c r="E36" s="9" t="inlineStr">
        <is>
          <t>PF</t>
        </is>
      </c>
      <c r="F36" s="9" t="inlineStr">
        <is>
          <t>Despesa</t>
        </is>
      </c>
      <c r="G36" s="5" t="inlineStr">
        <is>
          <t>Alimentação</t>
        </is>
      </c>
      <c r="H36" s="7" t="inlineStr">
        <is>
          <t>Restaurantes &amp; Lanches</t>
        </is>
      </c>
      <c r="I36" s="5" t="inlineStr">
        <is>
          <t>Pastelaria do Tila</t>
        </is>
      </c>
      <c r="J36" s="6" t="n">
        <v>43.5</v>
      </c>
      <c r="K36" s="7" t="inlineStr">
        <is>
          <t>Cartão Nubank PF</t>
        </is>
      </c>
      <c r="L36" s="5" t="inlineStr">
        <is>
          <t>Normal PF</t>
        </is>
      </c>
      <c r="M36" s="9" t="inlineStr">
        <is>
          <t>Liquidado</t>
        </is>
      </c>
      <c r="N36" s="17" t="inlineStr">
        <is>
          <t>Lanches</t>
        </is>
      </c>
    </row>
    <row r="37">
      <c r="A37" s="9" t="n">
        <v>1036</v>
      </c>
      <c r="B37" s="9" t="inlineStr">
        <is>
          <t>2026-10-07</t>
        </is>
      </c>
      <c r="C37" s="9" t="inlineStr">
        <is>
          <t>10/2026</t>
        </is>
      </c>
      <c r="D37" s="7" t="inlineStr">
        <is>
          <t>Cartão Nubank PF</t>
        </is>
      </c>
      <c r="E37" s="9" t="inlineStr">
        <is>
          <t>PF</t>
        </is>
      </c>
      <c r="F37" s="9" t="inlineStr">
        <is>
          <t>Despesa</t>
        </is>
      </c>
      <c r="G37" s="5" t="inlineStr">
        <is>
          <t>Alimentação</t>
        </is>
      </c>
      <c r="H37" s="7" t="inlineStr">
        <is>
          <t>Supermercados</t>
        </is>
      </c>
      <c r="I37" s="5" t="inlineStr">
        <is>
          <t>Rodrigues Rodrigues Su</t>
        </is>
      </c>
      <c r="J37" s="6" t="n">
        <v>43.27</v>
      </c>
      <c r="K37" s="7" t="inlineStr">
        <is>
          <t>Cartão Nubank PF</t>
        </is>
      </c>
      <c r="L37" s="5" t="inlineStr">
        <is>
          <t>Normal PF</t>
        </is>
      </c>
      <c r="M37" s="9" t="inlineStr">
        <is>
          <t>Liquidado</t>
        </is>
      </c>
      <c r="N37" s="17" t="inlineStr">
        <is>
          <t>Mercado</t>
        </is>
      </c>
    </row>
    <row r="38">
      <c r="A38" s="9" t="n">
        <v>1037</v>
      </c>
      <c r="B38" s="9" t="inlineStr">
        <is>
          <t>2026-10-05</t>
        </is>
      </c>
      <c r="C38" s="9" t="inlineStr">
        <is>
          <t>10/2026</t>
        </is>
      </c>
      <c r="D38" s="7" t="inlineStr">
        <is>
          <t>Cartão Nubank PF</t>
        </is>
      </c>
      <c r="E38" s="9" t="inlineStr">
        <is>
          <t>PF</t>
        </is>
      </c>
      <c r="F38" s="9" t="inlineStr">
        <is>
          <t>Despesa</t>
        </is>
      </c>
      <c r="G38" s="5" t="inlineStr">
        <is>
          <t>Alimentação</t>
        </is>
      </c>
      <c r="H38" s="7" t="inlineStr">
        <is>
          <t>Restaurantes &amp; Lanches</t>
        </is>
      </c>
      <c r="I38" s="5" t="inlineStr">
        <is>
          <t>Mariko</t>
        </is>
      </c>
      <c r="J38" s="6" t="n">
        <v>40</v>
      </c>
      <c r="K38" s="7" t="inlineStr">
        <is>
          <t>Cartão Nubank PF</t>
        </is>
      </c>
      <c r="L38" s="5" t="inlineStr">
        <is>
          <t>Normal PF</t>
        </is>
      </c>
      <c r="M38" s="9" t="inlineStr">
        <is>
          <t>Liquidado</t>
        </is>
      </c>
      <c r="N38" s="17" t="inlineStr">
        <is>
          <t>Alimentação</t>
        </is>
      </c>
    </row>
    <row r="39">
      <c r="A39" s="9" t="n">
        <v>1038</v>
      </c>
      <c r="B39" s="9" t="inlineStr">
        <is>
          <t>2026-10-04</t>
        </is>
      </c>
      <c r="C39" s="9" t="inlineStr">
        <is>
          <t>10/2026</t>
        </is>
      </c>
      <c r="D39" s="7" t="inlineStr">
        <is>
          <t>Cartão Nubank PF</t>
        </is>
      </c>
      <c r="E39" s="9" t="inlineStr">
        <is>
          <t>PF</t>
        </is>
      </c>
      <c r="F39" s="9" t="inlineStr">
        <is>
          <t>Despesa</t>
        </is>
      </c>
      <c r="G39" s="5" t="inlineStr">
        <is>
          <t>Alimentação</t>
        </is>
      </c>
      <c r="H39" s="7" t="inlineStr">
        <is>
          <t>Doces / Confeitaria</t>
        </is>
      </c>
      <c r="I39" s="5" t="inlineStr">
        <is>
          <t>Cacau Show</t>
        </is>
      </c>
      <c r="J39" s="6" t="n">
        <v>39.99</v>
      </c>
      <c r="K39" s="7" t="inlineStr">
        <is>
          <t>Cartão Nubank PF</t>
        </is>
      </c>
      <c r="L39" s="5" t="inlineStr">
        <is>
          <t>Normal PF</t>
        </is>
      </c>
      <c r="M39" s="9" t="inlineStr">
        <is>
          <t>Liquidado</t>
        </is>
      </c>
      <c r="N39" s="17" t="inlineStr">
        <is>
          <t>Doces / Chocolates</t>
        </is>
      </c>
    </row>
    <row r="40">
      <c r="A40" s="9" t="n">
        <v>1039</v>
      </c>
      <c r="B40" s="9" t="inlineStr">
        <is>
          <t>2026-10-02</t>
        </is>
      </c>
      <c r="C40" s="9" t="inlineStr">
        <is>
          <t>10/2026</t>
        </is>
      </c>
      <c r="D40" s="7" t="inlineStr">
        <is>
          <t>Cartão Nubank PF</t>
        </is>
      </c>
      <c r="E40" s="9" t="inlineStr">
        <is>
          <t>PF</t>
        </is>
      </c>
      <c r="F40" s="9" t="inlineStr">
        <is>
          <t>Despesa</t>
        </is>
      </c>
      <c r="G40" s="5" t="inlineStr">
        <is>
          <t>Saúde &amp; Bem-Estar</t>
        </is>
      </c>
      <c r="H40" s="7" t="inlineStr">
        <is>
          <t>Farmácia</t>
        </is>
      </c>
      <c r="I40" s="5" t="inlineStr">
        <is>
          <t>Natusfarma 0030 Mg</t>
        </is>
      </c>
      <c r="J40" s="6" t="n">
        <v>39.99</v>
      </c>
      <c r="K40" s="7" t="inlineStr">
        <is>
          <t>Cartão Nubank PF</t>
        </is>
      </c>
      <c r="L40" s="5" t="inlineStr">
        <is>
          <t>Normal PF</t>
        </is>
      </c>
      <c r="M40" s="9" t="inlineStr">
        <is>
          <t>Liquidado</t>
        </is>
      </c>
      <c r="N40" s="17" t="inlineStr">
        <is>
          <t>Farmácia</t>
        </is>
      </c>
    </row>
    <row r="41">
      <c r="A41" s="9" t="n">
        <v>1040</v>
      </c>
      <c r="B41" s="9" t="inlineStr">
        <is>
          <t>2026-10-07</t>
        </is>
      </c>
      <c r="C41" s="9" t="inlineStr">
        <is>
          <t>10/2026</t>
        </is>
      </c>
      <c r="D41" s="7" t="inlineStr">
        <is>
          <t>Cartão Nubank PF</t>
        </is>
      </c>
      <c r="E41" s="9" t="inlineStr">
        <is>
          <t>PF</t>
        </is>
      </c>
      <c r="F41" s="9" t="inlineStr">
        <is>
          <t>Despesa</t>
        </is>
      </c>
      <c r="G41" s="5" t="inlineStr">
        <is>
          <t>Saúde &amp; Bem-Estar</t>
        </is>
      </c>
      <c r="H41" s="7" t="inlineStr">
        <is>
          <t>Farmácia</t>
        </is>
      </c>
      <c r="I41" s="5" t="inlineStr">
        <is>
          <t>Masterformula</t>
        </is>
      </c>
      <c r="J41" s="6" t="n">
        <v>35.66</v>
      </c>
      <c r="K41" s="7" t="inlineStr">
        <is>
          <t>Cartão Nubank PF</t>
        </is>
      </c>
      <c r="L41" s="5" t="inlineStr">
        <is>
          <t>Normal PF</t>
        </is>
      </c>
      <c r="M41" s="9" t="inlineStr">
        <is>
          <t>Liquidado</t>
        </is>
      </c>
      <c r="N41" s="17" t="inlineStr">
        <is>
          <t>Manipulação / Farmácia</t>
        </is>
      </c>
    </row>
    <row r="42">
      <c r="A42" s="9" t="n">
        <v>1041</v>
      </c>
      <c r="B42" s="9" t="inlineStr">
        <is>
          <t>2026-10-02</t>
        </is>
      </c>
      <c r="C42" s="9" t="inlineStr">
        <is>
          <t>10/2026</t>
        </is>
      </c>
      <c r="D42" s="7" t="inlineStr">
        <is>
          <t>Cartão Nubank PF</t>
        </is>
      </c>
      <c r="E42" s="9" t="inlineStr">
        <is>
          <t>PF</t>
        </is>
      </c>
      <c r="F42" s="9" t="inlineStr">
        <is>
          <t>Despesa</t>
        </is>
      </c>
      <c r="G42" s="5" t="inlineStr">
        <is>
          <t>Compras &amp; Lazer</t>
        </is>
      </c>
      <c r="H42" s="7" t="inlineStr">
        <is>
          <t>Streaming / TV</t>
        </is>
      </c>
      <c r="I42" s="5" t="inlineStr">
        <is>
          <t>Paramount+</t>
        </is>
      </c>
      <c r="J42" s="6" t="n">
        <v>34.9</v>
      </c>
      <c r="K42" s="7" t="inlineStr">
        <is>
          <t>Cartão Nubank PF</t>
        </is>
      </c>
      <c r="L42" s="5" t="inlineStr">
        <is>
          <t>Normal PF</t>
        </is>
      </c>
      <c r="M42" s="9" t="inlineStr">
        <is>
          <t>Liquidado</t>
        </is>
      </c>
      <c r="N42" s="17" t="inlineStr">
        <is>
          <t>Assinatura streaming</t>
        </is>
      </c>
    </row>
    <row r="43">
      <c r="A43" s="9" t="n">
        <v>1042</v>
      </c>
      <c r="B43" s="9" t="inlineStr">
        <is>
          <t>2026-10-02</t>
        </is>
      </c>
      <c r="C43" s="9" t="inlineStr">
        <is>
          <t>10/2026</t>
        </is>
      </c>
      <c r="D43" s="7" t="inlineStr">
        <is>
          <t>Cartão Nubank PF</t>
        </is>
      </c>
      <c r="E43" s="9" t="inlineStr">
        <is>
          <t>PF</t>
        </is>
      </c>
      <c r="F43" s="9" t="inlineStr">
        <is>
          <t>Despesa</t>
        </is>
      </c>
      <c r="G43" s="5" t="inlineStr">
        <is>
          <t>Alimentação</t>
        </is>
      </c>
      <c r="H43" s="7" t="inlineStr">
        <is>
          <t>Supermercados</t>
        </is>
      </c>
      <c r="I43" s="5" t="inlineStr">
        <is>
          <t>Supermercado Buritis</t>
        </is>
      </c>
      <c r="J43" s="6" t="n">
        <v>31.45</v>
      </c>
      <c r="K43" s="7" t="inlineStr">
        <is>
          <t>Cartão Nubank PF</t>
        </is>
      </c>
      <c r="L43" s="5" t="inlineStr">
        <is>
          <t>Normal PF</t>
        </is>
      </c>
      <c r="M43" s="9" t="inlineStr">
        <is>
          <t>Liquidado</t>
        </is>
      </c>
      <c r="N43" s="17" t="inlineStr">
        <is>
          <t>Mercado reposição</t>
        </is>
      </c>
    </row>
    <row r="44">
      <c r="A44" s="9" t="n">
        <v>1043</v>
      </c>
      <c r="B44" s="9" t="inlineStr">
        <is>
          <t>2026-10-01</t>
        </is>
      </c>
      <c r="C44" s="9" t="inlineStr">
        <is>
          <t>10/2026</t>
        </is>
      </c>
      <c r="D44" s="7" t="inlineStr">
        <is>
          <t>Cartão Nubank PF</t>
        </is>
      </c>
      <c r="E44" s="9" t="inlineStr">
        <is>
          <t>PF</t>
        </is>
      </c>
      <c r="F44" s="9" t="inlineStr">
        <is>
          <t>Despesa</t>
        </is>
      </c>
      <c r="G44" s="5" t="inlineStr">
        <is>
          <t>Alimentação</t>
        </is>
      </c>
      <c r="H44" s="7" t="inlineStr">
        <is>
          <t>Supermercados</t>
        </is>
      </c>
      <c r="I44" s="5" t="inlineStr">
        <is>
          <t>Supermercado Buritis</t>
        </is>
      </c>
      <c r="J44" s="6" t="n">
        <v>25.86</v>
      </c>
      <c r="K44" s="7" t="inlineStr">
        <is>
          <t>Cartão Nubank PF</t>
        </is>
      </c>
      <c r="L44" s="5" t="inlineStr">
        <is>
          <t>Normal PF</t>
        </is>
      </c>
      <c r="M44" s="9" t="inlineStr">
        <is>
          <t>Liquidado</t>
        </is>
      </c>
      <c r="N44" s="17" t="inlineStr">
        <is>
          <t>Mercado reposição</t>
        </is>
      </c>
    </row>
    <row r="45">
      <c r="A45" s="9" t="n">
        <v>1044</v>
      </c>
      <c r="B45" s="9" t="inlineStr">
        <is>
          <t>2026-10-04</t>
        </is>
      </c>
      <c r="C45" s="9" t="inlineStr">
        <is>
          <t>10/2026</t>
        </is>
      </c>
      <c r="D45" s="7" t="inlineStr">
        <is>
          <t>Cartão Nubank PF</t>
        </is>
      </c>
      <c r="E45" s="9" t="inlineStr">
        <is>
          <t>PF</t>
        </is>
      </c>
      <c r="F45" s="9" t="inlineStr">
        <is>
          <t>Despesa</t>
        </is>
      </c>
      <c r="G45" s="5" t="inlineStr">
        <is>
          <t>Alimentação</t>
        </is>
      </c>
      <c r="H45" s="7" t="inlineStr">
        <is>
          <t>Lanches &amp; Sobremesas</t>
        </is>
      </c>
      <c r="I45" s="5" t="inlineStr">
        <is>
          <t>Chiquinho Sorvetes</t>
        </is>
      </c>
      <c r="J45" s="6" t="n">
        <v>20</v>
      </c>
      <c r="K45" s="7" t="inlineStr">
        <is>
          <t>Cartão Nubank PF</t>
        </is>
      </c>
      <c r="L45" s="5" t="inlineStr">
        <is>
          <t>Normal PF</t>
        </is>
      </c>
      <c r="M45" s="9" t="inlineStr">
        <is>
          <t>Liquidado</t>
        </is>
      </c>
      <c r="N45" s="17" t="inlineStr">
        <is>
          <t>Sobremesa</t>
        </is>
      </c>
    </row>
    <row r="46">
      <c r="A46" s="9" t="n">
        <v>1045</v>
      </c>
      <c r="B46" s="9" t="inlineStr">
        <is>
          <t>2026-10-01</t>
        </is>
      </c>
      <c r="C46" s="9" t="inlineStr">
        <is>
          <t>10/2026</t>
        </is>
      </c>
      <c r="D46" s="7" t="inlineStr">
        <is>
          <t>Cartão Nubank PF</t>
        </is>
      </c>
      <c r="E46" s="9" t="inlineStr">
        <is>
          <t>PF</t>
        </is>
      </c>
      <c r="F46" s="9" t="inlineStr">
        <is>
          <t>Despesa</t>
        </is>
      </c>
      <c r="G46" s="5" t="inlineStr">
        <is>
          <t>Compras &amp; Lazer</t>
        </is>
      </c>
      <c r="H46" s="7" t="inlineStr">
        <is>
          <t>Streaming / TV</t>
        </is>
      </c>
      <c r="I46" s="5" t="inlineStr">
        <is>
          <t>Amazon Prime Canais</t>
        </is>
      </c>
      <c r="J46" s="6" t="n">
        <v>19.99</v>
      </c>
      <c r="K46" s="7" t="inlineStr">
        <is>
          <t>Cartão Nubank PF</t>
        </is>
      </c>
      <c r="L46" s="5" t="inlineStr">
        <is>
          <t>Normal PF</t>
        </is>
      </c>
      <c r="M46" s="9" t="inlineStr">
        <is>
          <t>Liquidado</t>
        </is>
      </c>
      <c r="N46" s="17" t="inlineStr">
        <is>
          <t>Assinatura canais</t>
        </is>
      </c>
    </row>
    <row r="47">
      <c r="A47" s="9" t="n">
        <v>1046</v>
      </c>
      <c r="B47" s="9" t="inlineStr">
        <is>
          <t>2026-10-03</t>
        </is>
      </c>
      <c r="C47" s="9" t="inlineStr">
        <is>
          <t>10/2026</t>
        </is>
      </c>
      <c r="D47" s="7" t="inlineStr">
        <is>
          <t>Cartão Nubank PF</t>
        </is>
      </c>
      <c r="E47" s="9" t="inlineStr">
        <is>
          <t>PF</t>
        </is>
      </c>
      <c r="F47" s="9" t="inlineStr">
        <is>
          <t>Despesa</t>
        </is>
      </c>
      <c r="G47" s="5" t="inlineStr">
        <is>
          <t>Alimentação</t>
        </is>
      </c>
      <c r="H47" s="7" t="inlineStr">
        <is>
          <t>Supermercados</t>
        </is>
      </c>
      <c r="I47" s="5" t="inlineStr">
        <is>
          <t>Supermercado Buritis</t>
        </is>
      </c>
      <c r="J47" s="6" t="n">
        <v>18.19</v>
      </c>
      <c r="K47" s="7" t="inlineStr">
        <is>
          <t>Cartão Nubank PF</t>
        </is>
      </c>
      <c r="L47" s="5" t="inlineStr">
        <is>
          <t>Normal PF</t>
        </is>
      </c>
      <c r="M47" s="9" t="inlineStr">
        <is>
          <t>Liquidado</t>
        </is>
      </c>
      <c r="N47" s="17" t="inlineStr">
        <is>
          <t>Mercado reposição</t>
        </is>
      </c>
    </row>
    <row r="48">
      <c r="A48" s="9" t="n">
        <v>1047</v>
      </c>
      <c r="B48" s="9" t="inlineStr">
        <is>
          <t>2026-09-30</t>
        </is>
      </c>
      <c r="C48" s="9" t="inlineStr">
        <is>
          <t>10/2026</t>
        </is>
      </c>
      <c r="D48" s="7" t="inlineStr">
        <is>
          <t>Cartão Nubank PF</t>
        </is>
      </c>
      <c r="E48" s="9" t="inlineStr">
        <is>
          <t>PF</t>
        </is>
      </c>
      <c r="F48" s="9" t="inlineStr">
        <is>
          <t>Despesa</t>
        </is>
      </c>
      <c r="G48" s="5" t="inlineStr">
        <is>
          <t>Alimentação</t>
        </is>
      </c>
      <c r="H48" s="7" t="inlineStr">
        <is>
          <t>Padaria / Lanches</t>
        </is>
      </c>
      <c r="I48" s="5" t="inlineStr">
        <is>
          <t>Mp *Rosinairibeir</t>
        </is>
      </c>
      <c r="J48" s="6" t="n">
        <v>18</v>
      </c>
      <c r="K48" s="7" t="inlineStr">
        <is>
          <t>Cartão Nubank PF</t>
        </is>
      </c>
      <c r="L48" s="5" t="inlineStr">
        <is>
          <t>Normal PF</t>
        </is>
      </c>
      <c r="M48" s="9" t="inlineStr">
        <is>
          <t>Liquidado</t>
        </is>
      </c>
      <c r="N48" s="17" t="inlineStr">
        <is>
          <t>Padaria</t>
        </is>
      </c>
    </row>
    <row r="49">
      <c r="A49" s="9" t="n">
        <v>1048</v>
      </c>
      <c r="B49" s="9" t="inlineStr">
        <is>
          <t>2026-10-01</t>
        </is>
      </c>
      <c r="C49" s="9" t="inlineStr">
        <is>
          <t>10/2026</t>
        </is>
      </c>
      <c r="D49" s="7" t="inlineStr">
        <is>
          <t>Cartão Nubank PF</t>
        </is>
      </c>
      <c r="E49" s="9" t="inlineStr">
        <is>
          <t>PF</t>
        </is>
      </c>
      <c r="F49" s="9" t="inlineStr">
        <is>
          <t>Despesa</t>
        </is>
      </c>
      <c r="G49" s="5" t="inlineStr">
        <is>
          <t>Alimentação</t>
        </is>
      </c>
      <c r="H49" s="7" t="inlineStr">
        <is>
          <t>Padaria / Lanches</t>
        </is>
      </c>
      <c r="I49" s="5" t="inlineStr">
        <is>
          <t>Mp *Rosinairibeir</t>
        </is>
      </c>
      <c r="J49" s="6" t="n">
        <v>14.5</v>
      </c>
      <c r="K49" s="7" t="inlineStr">
        <is>
          <t>Cartão Nubank PF</t>
        </is>
      </c>
      <c r="L49" s="5" t="inlineStr">
        <is>
          <t>Normal PF</t>
        </is>
      </c>
      <c r="M49" s="9" t="inlineStr">
        <is>
          <t>Liquidado</t>
        </is>
      </c>
      <c r="N49" s="17" t="inlineStr">
        <is>
          <t>Padaria</t>
        </is>
      </c>
    </row>
    <row r="50">
      <c r="A50" s="9" t="n">
        <v>1049</v>
      </c>
      <c r="B50" s="9" t="inlineStr">
        <is>
          <t>2026-10-06</t>
        </is>
      </c>
      <c r="C50" s="9" t="inlineStr">
        <is>
          <t>10/2026</t>
        </is>
      </c>
      <c r="D50" s="7" t="inlineStr">
        <is>
          <t>Cartão Nubank PF</t>
        </is>
      </c>
      <c r="E50" s="9" t="inlineStr">
        <is>
          <t>PF</t>
        </is>
      </c>
      <c r="F50" s="9" t="inlineStr">
        <is>
          <t>Despesa</t>
        </is>
      </c>
      <c r="G50" s="5" t="inlineStr">
        <is>
          <t>Alimentação</t>
        </is>
      </c>
      <c r="H50" s="7" t="inlineStr">
        <is>
          <t>Padaria / Lanches</t>
        </is>
      </c>
      <c r="I50" s="5" t="inlineStr">
        <is>
          <t>Casa da Coxinha</t>
        </is>
      </c>
      <c r="J50" s="6" t="n">
        <v>14</v>
      </c>
      <c r="K50" s="7" t="inlineStr">
        <is>
          <t>Cartão Nubank PF</t>
        </is>
      </c>
      <c r="L50" s="5" t="inlineStr">
        <is>
          <t>Normal PF</t>
        </is>
      </c>
      <c r="M50" s="9" t="inlineStr">
        <is>
          <t>Liquidado</t>
        </is>
      </c>
      <c r="N50" s="17" t="inlineStr">
        <is>
          <t>Lanches</t>
        </is>
      </c>
    </row>
    <row r="51">
      <c r="A51" s="9" t="n">
        <v>1050</v>
      </c>
      <c r="B51" s="9" t="inlineStr">
        <is>
          <t>2026-10-03</t>
        </is>
      </c>
      <c r="C51" s="9" t="inlineStr">
        <is>
          <t>10/2026</t>
        </is>
      </c>
      <c r="D51" s="7" t="inlineStr">
        <is>
          <t>Cartão Nubank PF</t>
        </is>
      </c>
      <c r="E51" s="9" t="inlineStr">
        <is>
          <t>PF</t>
        </is>
      </c>
      <c r="F51" s="9" t="inlineStr">
        <is>
          <t>Despesa</t>
        </is>
      </c>
      <c r="G51" s="5" t="inlineStr">
        <is>
          <t>Alimentação</t>
        </is>
      </c>
      <c r="H51" s="7" t="inlineStr">
        <is>
          <t>Padaria / Lanches</t>
        </is>
      </c>
      <c r="I51" s="5" t="inlineStr">
        <is>
          <t>Casa da Coxinha</t>
        </is>
      </c>
      <c r="J51" s="6" t="n">
        <v>13.5</v>
      </c>
      <c r="K51" s="7" t="inlineStr">
        <is>
          <t>Cartão Nubank PF</t>
        </is>
      </c>
      <c r="L51" s="5" t="inlineStr">
        <is>
          <t>Normal PF</t>
        </is>
      </c>
      <c r="M51" s="9" t="inlineStr">
        <is>
          <t>Liquidado</t>
        </is>
      </c>
      <c r="N51" s="17" t="inlineStr">
        <is>
          <t>Lanches</t>
        </is>
      </c>
    </row>
    <row r="52">
      <c r="A52" s="9" t="n">
        <v>1051</v>
      </c>
      <c r="B52" s="9" t="inlineStr">
        <is>
          <t>2026-09-30</t>
        </is>
      </c>
      <c r="C52" s="9" t="inlineStr">
        <is>
          <t>10/2026</t>
        </is>
      </c>
      <c r="D52" s="7" t="inlineStr">
        <is>
          <t>Cartão Nubank PF</t>
        </is>
      </c>
      <c r="E52" s="9" t="inlineStr">
        <is>
          <t>PF</t>
        </is>
      </c>
      <c r="F52" s="9" t="inlineStr">
        <is>
          <t>Despesa</t>
        </is>
      </c>
      <c r="G52" s="5" t="inlineStr">
        <is>
          <t>Educação (Benjamim)</t>
        </is>
      </c>
      <c r="H52" s="7" t="inlineStr">
        <is>
          <t>Material Escolar</t>
        </is>
      </c>
      <c r="I52" s="5" t="inlineStr">
        <is>
          <t>Papelaria Lapis de Cor</t>
        </is>
      </c>
      <c r="J52" s="6" t="n">
        <v>9.5</v>
      </c>
      <c r="K52" s="7" t="inlineStr">
        <is>
          <t>Cartão Nubank PF</t>
        </is>
      </c>
      <c r="L52" s="5" t="inlineStr">
        <is>
          <t>Normal PF</t>
        </is>
      </c>
      <c r="M52" s="9" t="inlineStr">
        <is>
          <t>Liquidado</t>
        </is>
      </c>
      <c r="N52" s="17" t="inlineStr">
        <is>
          <t>Papelaria</t>
        </is>
      </c>
    </row>
    <row r="53">
      <c r="A53" s="9" t="n">
        <v>1052</v>
      </c>
      <c r="B53" s="9" t="inlineStr">
        <is>
          <t>2026-10-05</t>
        </is>
      </c>
      <c r="C53" s="9" t="inlineStr">
        <is>
          <t>10/2026</t>
        </is>
      </c>
      <c r="D53" s="7" t="inlineStr">
        <is>
          <t>Cartão Nubank PF</t>
        </is>
      </c>
      <c r="E53" s="9" t="inlineStr">
        <is>
          <t>PF</t>
        </is>
      </c>
      <c r="F53" s="9" t="inlineStr">
        <is>
          <t>Despesa</t>
        </is>
      </c>
      <c r="G53" s="5" t="inlineStr">
        <is>
          <t>Alimentação</t>
        </is>
      </c>
      <c r="H53" s="7" t="inlineStr">
        <is>
          <t>Restaurantes &amp; Lanches</t>
        </is>
      </c>
      <c r="I53" s="5" t="inlineStr">
        <is>
          <t>Porto Bello Restaurant</t>
        </is>
      </c>
      <c r="J53" s="6" t="n">
        <v>8</v>
      </c>
      <c r="K53" s="7" t="inlineStr">
        <is>
          <t>Cartão Nubank PF</t>
        </is>
      </c>
      <c r="L53" s="5" t="inlineStr">
        <is>
          <t>Normal PF</t>
        </is>
      </c>
      <c r="M53" s="9" t="inlineStr">
        <is>
          <t>Liquidado</t>
        </is>
      </c>
      <c r="N53" s="17" t="inlineStr">
        <is>
          <t>Lanches</t>
        </is>
      </c>
    </row>
  </sheetData>
  <autoFilter ref="A1:N5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8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4" customWidth="1" min="3" max="3"/>
    <col width="19" customWidth="1" min="4" max="4"/>
    <col width="12" customWidth="1" min="5" max="5"/>
    <col width="12" customWidth="1" min="6" max="6"/>
    <col width="27" customWidth="1" min="7" max="7"/>
    <col width="29" customWidth="1" min="8" max="8"/>
    <col width="54" customWidth="1" min="9" max="9"/>
    <col width="13" customWidth="1" min="10" max="10"/>
    <col width="19" customWidth="1" min="11" max="11"/>
    <col width="15" customWidth="1" min="12" max="12"/>
    <col width="12" customWidth="1" min="13" max="13"/>
    <col width="54" customWidth="1" min="14" max="14"/>
  </cols>
  <sheetData>
    <row r="1">
      <c r="A1" s="4" t="inlineStr">
        <is>
          <t>ID</t>
        </is>
      </c>
      <c r="B1" s="4" t="inlineStr">
        <is>
          <t>Data</t>
        </is>
      </c>
      <c r="C1" s="4" t="inlineStr">
        <is>
          <t>Competência</t>
        </is>
      </c>
      <c r="D1" s="4" t="inlineStr">
        <is>
          <t>Conta / Cartão</t>
        </is>
      </c>
      <c r="E1" s="4" t="inlineStr">
        <is>
          <t>Entidade</t>
        </is>
      </c>
      <c r="F1" s="4" t="inlineStr">
        <is>
          <t>Tipo</t>
        </is>
      </c>
      <c r="G1" s="4" t="inlineStr">
        <is>
          <t>Categoria</t>
        </is>
      </c>
      <c r="H1" s="4" t="inlineStr">
        <is>
          <t>Subcategoria</t>
        </is>
      </c>
      <c r="I1" s="4" t="inlineStr">
        <is>
          <t>Descrição do Lançamento</t>
        </is>
      </c>
      <c r="J1" s="4" t="inlineStr">
        <is>
          <t>Valor (R$)</t>
        </is>
      </c>
      <c r="K1" s="4" t="inlineStr">
        <is>
          <t>Conta Pagadora</t>
        </is>
      </c>
      <c r="L1" s="4" t="inlineStr">
        <is>
          <t>Cruzamento</t>
        </is>
      </c>
      <c r="M1" s="4" t="inlineStr">
        <is>
          <t>Status</t>
        </is>
      </c>
      <c r="N1" s="4" t="inlineStr">
        <is>
          <t>Observações</t>
        </is>
      </c>
    </row>
    <row r="2">
      <c r="A2" s="9" t="n">
        <v>1</v>
      </c>
      <c r="B2" s="9" t="inlineStr">
        <is>
          <t>2026-09-21</t>
        </is>
      </c>
      <c r="C2" s="9" t="inlineStr">
        <is>
          <t>09/2026</t>
        </is>
      </c>
      <c r="D2" s="7" t="inlineStr">
        <is>
          <t>Conta Caixa PJ</t>
        </is>
      </c>
      <c r="E2" s="9" t="inlineStr">
        <is>
          <t>PJ</t>
        </is>
      </c>
      <c r="F2" s="9" t="inlineStr">
        <is>
          <t>Receita</t>
        </is>
      </c>
      <c r="G2" s="5" t="inlineStr">
        <is>
          <t>Receita Operacional</t>
        </is>
      </c>
      <c r="H2" s="7" t="inlineStr">
        <is>
          <t>Projetos Nacionais</t>
        </is>
      </c>
      <c r="I2" s="5" t="inlineStr">
        <is>
          <t>Grado Engenharia - Reforma Prédio Ondina (Rampa)</t>
        </is>
      </c>
      <c r="J2" s="6" t="n">
        <v>3500</v>
      </c>
      <c r="K2" s="7" t="inlineStr">
        <is>
          <t>Conta Caixa PJ</t>
        </is>
      </c>
      <c r="L2" s="5" t="inlineStr">
        <is>
          <t>Normal PJ</t>
        </is>
      </c>
      <c r="M2" s="9" t="inlineStr">
        <is>
          <t>Liquidado</t>
        </is>
      </c>
      <c r="N2" s="17" t="inlineStr">
        <is>
          <t>TED recebida</t>
        </is>
      </c>
    </row>
    <row r="3">
      <c r="A3" s="9" t="n">
        <v>2</v>
      </c>
      <c r="B3" s="9" t="inlineStr">
        <is>
          <t>2026-09-21</t>
        </is>
      </c>
      <c r="C3" s="9" t="inlineStr">
        <is>
          <t>09/2026</t>
        </is>
      </c>
      <c r="D3" s="7" t="inlineStr">
        <is>
          <t>Conta Caixa PJ</t>
        </is>
      </c>
      <c r="E3" s="9" t="inlineStr">
        <is>
          <t>PJ</t>
        </is>
      </c>
      <c r="F3" s="9" t="inlineStr">
        <is>
          <t>Receita</t>
        </is>
      </c>
      <c r="G3" s="5" t="inlineStr">
        <is>
          <t>Receita Operacional</t>
        </is>
      </c>
      <c r="H3" s="7" t="inlineStr">
        <is>
          <t>Projetos Nacionais</t>
        </is>
      </c>
      <c r="I3" s="5" t="inlineStr">
        <is>
          <t>Grado Engenharia - Reforma Prédio Ondina (Mezanino)</t>
        </is>
      </c>
      <c r="J3" s="6" t="n">
        <v>3700</v>
      </c>
      <c r="K3" s="7" t="inlineStr">
        <is>
          <t>Conta Caixa PJ</t>
        </is>
      </c>
      <c r="L3" s="5" t="inlineStr">
        <is>
          <t>Normal PJ</t>
        </is>
      </c>
      <c r="M3" s="9" t="inlineStr">
        <is>
          <t>Liquidado</t>
        </is>
      </c>
      <c r="N3" s="17" t="inlineStr">
        <is>
          <t>TED recebida</t>
        </is>
      </c>
    </row>
    <row r="4">
      <c r="A4" s="9" t="n">
        <v>3</v>
      </c>
      <c r="B4" s="9" t="inlineStr">
        <is>
          <t>2026-09-04</t>
        </is>
      </c>
      <c r="C4" s="9" t="inlineStr">
        <is>
          <t>09/2026</t>
        </is>
      </c>
      <c r="D4" s="7" t="inlineStr">
        <is>
          <t>Wise Portugal</t>
        </is>
      </c>
      <c r="E4" s="9" t="inlineStr">
        <is>
          <t>PJ</t>
        </is>
      </c>
      <c r="F4" s="9" t="inlineStr">
        <is>
          <t>Receita</t>
        </is>
      </c>
      <c r="G4" s="5" t="inlineStr">
        <is>
          <t>Receita Internacional</t>
        </is>
      </c>
      <c r="H4" s="7" t="inlineStr">
        <is>
          <t>Projetos Internacionais</t>
        </is>
      </c>
      <c r="I4" s="5" t="inlineStr">
        <is>
          <t>TDP Braga (Portugal) - 1.575,00 Euros</t>
        </is>
      </c>
      <c r="J4" s="6" t="n">
        <v>9360</v>
      </c>
      <c r="K4" s="7" t="inlineStr">
        <is>
          <t>Wise / PF</t>
        </is>
      </c>
      <c r="L4" s="5" t="inlineStr">
        <is>
          <t>Normal PJ</t>
        </is>
      </c>
      <c r="M4" s="9" t="inlineStr">
        <is>
          <t>Liquidado</t>
        </is>
      </c>
      <c r="N4" s="17" t="inlineStr">
        <is>
          <t>Contrato recorrente internacional</t>
        </is>
      </c>
    </row>
    <row r="5">
      <c r="A5" s="9" t="n">
        <v>4</v>
      </c>
      <c r="B5" s="9" t="inlineStr">
        <is>
          <t>2026-09-04</t>
        </is>
      </c>
      <c r="C5" s="9" t="inlineStr">
        <is>
          <t>09/2026</t>
        </is>
      </c>
      <c r="D5" s="7" t="inlineStr">
        <is>
          <t>Conta Caixa PJ</t>
        </is>
      </c>
      <c r="E5" s="9" t="inlineStr">
        <is>
          <t>PJ</t>
        </is>
      </c>
      <c r="F5" s="9" t="inlineStr">
        <is>
          <t>Despesa</t>
        </is>
      </c>
      <c r="G5" s="5" t="inlineStr">
        <is>
          <t>Custos Escritório</t>
        </is>
      </c>
      <c r="H5" s="7" t="inlineStr">
        <is>
          <t>Equipe &amp; Estágio</t>
        </is>
      </c>
      <c r="I5" s="5" t="inlineStr">
        <is>
          <t>Fernanda Mayra Campos Barretto (Estagiária)</t>
        </is>
      </c>
      <c r="J5" s="6" t="n">
        <v>1621</v>
      </c>
      <c r="K5" s="7" t="inlineStr">
        <is>
          <t>Conta Caixa PJ</t>
        </is>
      </c>
      <c r="L5" s="5" t="inlineStr">
        <is>
          <t>Normal PJ</t>
        </is>
      </c>
      <c r="M5" s="9" t="inlineStr">
        <is>
          <t>Liquidado</t>
        </is>
      </c>
      <c r="N5" s="17" t="inlineStr">
        <is>
          <t>Bolsa de estágio mensal</t>
        </is>
      </c>
    </row>
    <row r="6">
      <c r="A6" s="9" t="n">
        <v>5</v>
      </c>
      <c r="B6" s="9" t="inlineStr">
        <is>
          <t>2026-09-23</t>
        </is>
      </c>
      <c r="C6" s="9" t="inlineStr">
        <is>
          <t>09/2026</t>
        </is>
      </c>
      <c r="D6" s="7" t="inlineStr">
        <is>
          <t>Conta Nubank PJ</t>
        </is>
      </c>
      <c r="E6" s="9" t="inlineStr">
        <is>
          <t>PJ</t>
        </is>
      </c>
      <c r="F6" s="9" t="inlineStr">
        <is>
          <t>Despesa</t>
        </is>
      </c>
      <c r="G6" s="5" t="inlineStr">
        <is>
          <t>Custos Escritório</t>
        </is>
      </c>
      <c r="H6" s="7" t="inlineStr">
        <is>
          <t>Equipe &amp; Estágio</t>
        </is>
      </c>
      <c r="I6" s="5" t="inlineStr">
        <is>
          <t>Fernanda Mayra Campos Barretto</t>
        </is>
      </c>
      <c r="J6" s="6" t="n">
        <v>80</v>
      </c>
      <c r="K6" s="7" t="inlineStr">
        <is>
          <t>Conta Nubank PJ</t>
        </is>
      </c>
      <c r="L6" s="5" t="inlineStr">
        <is>
          <t>Normal PJ</t>
        </is>
      </c>
      <c r="M6" s="9" t="inlineStr">
        <is>
          <t>Liquidado</t>
        </is>
      </c>
      <c r="N6" s="17" t="inlineStr">
        <is>
          <t>Complemento estágio / reembolso</t>
        </is>
      </c>
    </row>
    <row r="7">
      <c r="A7" s="9" t="n">
        <v>6</v>
      </c>
      <c r="B7" s="9" t="inlineStr">
        <is>
          <t>2026-09-04</t>
        </is>
      </c>
      <c r="C7" s="9" t="inlineStr">
        <is>
          <t>09/2026</t>
        </is>
      </c>
      <c r="D7" s="7" t="inlineStr">
        <is>
          <t>Conta Nubank PF</t>
        </is>
      </c>
      <c r="E7" s="9" t="inlineStr">
        <is>
          <t>PJ</t>
        </is>
      </c>
      <c r="F7" s="9" t="inlineStr">
        <is>
          <t>Despesa</t>
        </is>
      </c>
      <c r="G7" s="5" t="inlineStr">
        <is>
          <t>Custos Escritório</t>
        </is>
      </c>
      <c r="H7" s="7" t="inlineStr">
        <is>
          <t>Infraestrutura / Coworking</t>
        </is>
      </c>
      <c r="I7" s="5" t="inlineStr">
        <is>
          <t>D W Treinamento e Desenvolvimento Ltda (Coworking)</t>
        </is>
      </c>
      <c r="J7" s="6" t="n">
        <v>525</v>
      </c>
      <c r="K7" s="7" t="inlineStr">
        <is>
          <t>Conta Nubank PF</t>
        </is>
      </c>
      <c r="L7" s="5" t="inlineStr">
        <is>
          <t>PF pagou PJ</t>
        </is>
      </c>
      <c r="M7" s="9" t="inlineStr">
        <is>
          <t>Liquidado</t>
        </is>
      </c>
      <c r="N7" s="17" t="inlineStr">
        <is>
          <t>Aluguel escritório Pouso Alegre pago via PF</t>
        </is>
      </c>
    </row>
    <row r="8">
      <c r="A8" s="9" t="n">
        <v>7</v>
      </c>
      <c r="B8" s="9" t="inlineStr">
        <is>
          <t>2026-09-04</t>
        </is>
      </c>
      <c r="C8" s="9" t="inlineStr">
        <is>
          <t>09/2026</t>
        </is>
      </c>
      <c r="D8" s="7" t="inlineStr">
        <is>
          <t>Conta Nubank PJ</t>
        </is>
      </c>
      <c r="E8" s="9" t="inlineStr">
        <is>
          <t>PJ</t>
        </is>
      </c>
      <c r="F8" s="9" t="inlineStr">
        <is>
          <t>Despesa</t>
        </is>
      </c>
      <c r="G8" s="5" t="inlineStr">
        <is>
          <t>Custos Escritório</t>
        </is>
      </c>
      <c r="H8" s="7" t="inlineStr">
        <is>
          <t>Conectividade / Internet</t>
        </is>
      </c>
      <c r="I8" s="5" t="inlineStr">
        <is>
          <t>BRT Telecomunicações / CVS Telecom (Internet)</t>
        </is>
      </c>
      <c r="J8" s="6" t="n">
        <v>99.90000000000001</v>
      </c>
      <c r="K8" s="7" t="inlineStr">
        <is>
          <t>Conta Nubank PJ</t>
        </is>
      </c>
      <c r="L8" s="5" t="inlineStr">
        <is>
          <t>Normal PJ</t>
        </is>
      </c>
      <c r="M8" s="9" t="inlineStr">
        <is>
          <t>Liquidado</t>
        </is>
      </c>
      <c r="N8" s="17" t="inlineStr">
        <is>
          <t>Internet Pouso Alegre</t>
        </is>
      </c>
    </row>
    <row r="9">
      <c r="A9" s="9" t="n">
        <v>8</v>
      </c>
      <c r="B9" s="9" t="inlineStr">
        <is>
          <t>2026-09-02</t>
        </is>
      </c>
      <c r="C9" s="9" t="inlineStr">
        <is>
          <t>09/2026</t>
        </is>
      </c>
      <c r="D9" s="7" t="inlineStr">
        <is>
          <t>Cartão Nubank PJ</t>
        </is>
      </c>
      <c r="E9" s="9" t="inlineStr">
        <is>
          <t>PJ</t>
        </is>
      </c>
      <c r="F9" s="9" t="inlineStr">
        <is>
          <t>Despesa</t>
        </is>
      </c>
      <c r="G9" s="5" t="inlineStr">
        <is>
          <t>Custos Escritório</t>
        </is>
      </c>
      <c r="H9" s="7" t="inlineStr">
        <is>
          <t>Softwares &amp; TI</t>
        </is>
      </c>
      <c r="I9" s="5" t="inlineStr">
        <is>
          <t>Google Workspace (GSuite / Drive / E-mail)</t>
        </is>
      </c>
      <c r="J9" s="6" t="n">
        <v>98</v>
      </c>
      <c r="K9" s="7" t="inlineStr">
        <is>
          <t>Cartão Nubank PJ</t>
        </is>
      </c>
      <c r="L9" s="5" t="inlineStr">
        <is>
          <t>Normal PJ</t>
        </is>
      </c>
      <c r="M9" s="9" t="inlineStr">
        <is>
          <t>Liquidado</t>
        </is>
      </c>
      <c r="N9" s="17" t="inlineStr">
        <is>
          <t>Assinatura mensal Google</t>
        </is>
      </c>
    </row>
    <row r="10">
      <c r="A10" s="9" t="n">
        <v>9</v>
      </c>
      <c r="B10" s="9" t="inlineStr">
        <is>
          <t>2026-09-04</t>
        </is>
      </c>
      <c r="C10" s="9" t="inlineStr">
        <is>
          <t>09/2026</t>
        </is>
      </c>
      <c r="D10" s="7" t="inlineStr">
        <is>
          <t>Conta Nubank PF</t>
        </is>
      </c>
      <c r="E10" s="9" t="inlineStr">
        <is>
          <t>PJ</t>
        </is>
      </c>
      <c r="F10" s="9" t="inlineStr">
        <is>
          <t>Despesa</t>
        </is>
      </c>
      <c r="G10" s="5" t="inlineStr">
        <is>
          <t>Custos Escritório</t>
        </is>
      </c>
      <c r="H10" s="7" t="inlineStr">
        <is>
          <t>Tributos &amp; Taxas</t>
        </is>
      </c>
      <c r="I10" s="5" t="inlineStr">
        <is>
          <t>Receita Federal - INSS / DCTFWeb Moura Barretto</t>
        </is>
      </c>
      <c r="J10" s="6" t="n">
        <v>220</v>
      </c>
      <c r="K10" s="7" t="inlineStr">
        <is>
          <t>Conta Nubank PF</t>
        </is>
      </c>
      <c r="L10" s="5" t="inlineStr">
        <is>
          <t>PF pagou PJ</t>
        </is>
      </c>
      <c r="M10" s="9" t="inlineStr">
        <is>
          <t>Liquidado</t>
        </is>
      </c>
      <c r="N10" s="17" t="inlineStr">
        <is>
          <t>Tributo da empresa pago com conta pessoal</t>
        </is>
      </c>
    </row>
    <row r="11">
      <c r="A11" s="9" t="n">
        <v>10</v>
      </c>
      <c r="B11" s="9" t="inlineStr">
        <is>
          <t>2026-09-04</t>
        </is>
      </c>
      <c r="C11" s="9" t="inlineStr">
        <is>
          <t>09/2026</t>
        </is>
      </c>
      <c r="D11" s="7" t="inlineStr">
        <is>
          <t>Conta Nubank PF</t>
        </is>
      </c>
      <c r="E11" s="9" t="inlineStr">
        <is>
          <t>PJ</t>
        </is>
      </c>
      <c r="F11" s="9" t="inlineStr">
        <is>
          <t>Despesa</t>
        </is>
      </c>
      <c r="G11" s="5" t="inlineStr">
        <is>
          <t>Custos Escritório</t>
        </is>
      </c>
      <c r="H11" s="7" t="inlineStr">
        <is>
          <t>Tributos &amp; Taxas</t>
        </is>
      </c>
      <c r="I11" s="5" t="inlineStr">
        <is>
          <t>CREA PF (Conselho Regional de Engenharia)</t>
        </is>
      </c>
      <c r="J11" s="6" t="n">
        <v>228.84</v>
      </c>
      <c r="K11" s="7" t="inlineStr">
        <is>
          <t>Conta Nubank PF</t>
        </is>
      </c>
      <c r="L11" s="5" t="inlineStr">
        <is>
          <t>PF pagou PJ</t>
        </is>
      </c>
      <c r="M11" s="9" t="inlineStr">
        <is>
          <t>Liquidado</t>
        </is>
      </c>
      <c r="N11" s="17" t="inlineStr">
        <is>
          <t>Anuidade profissional engenharia</t>
        </is>
      </c>
    </row>
    <row r="12">
      <c r="A12" s="9" t="n">
        <v>11</v>
      </c>
      <c r="B12" s="9" t="inlineStr">
        <is>
          <t>2026-08-28</t>
        </is>
      </c>
      <c r="C12" s="9" t="inlineStr">
        <is>
          <t>09/2026</t>
        </is>
      </c>
      <c r="D12" s="7" t="inlineStr">
        <is>
          <t>Conta Nubank PF</t>
        </is>
      </c>
      <c r="E12" s="9" t="inlineStr">
        <is>
          <t>PJ</t>
        </is>
      </c>
      <c r="F12" s="9" t="inlineStr">
        <is>
          <t>Despesa</t>
        </is>
      </c>
      <c r="G12" s="5" t="inlineStr">
        <is>
          <t>Custos Escritório</t>
        </is>
      </c>
      <c r="H12" s="7" t="inlineStr">
        <is>
          <t>Tributos &amp; Taxas</t>
        </is>
      </c>
      <c r="I12" s="5" t="inlineStr">
        <is>
          <t>ABECE - Associação Bras. Engenharia Estrutural</t>
        </is>
      </c>
      <c r="J12" s="6" t="n">
        <v>110</v>
      </c>
      <c r="K12" s="7" t="inlineStr">
        <is>
          <t>Conta Nubank PF</t>
        </is>
      </c>
      <c r="L12" s="5" t="inlineStr">
        <is>
          <t>PF pagou PJ</t>
        </is>
      </c>
      <c r="M12" s="9" t="inlineStr">
        <is>
          <t>Liquidado</t>
        </is>
      </c>
      <c r="N12" s="17" t="inlineStr">
        <is>
          <t>Associação de classe técnica</t>
        </is>
      </c>
    </row>
    <row r="13">
      <c r="A13" s="9" t="n">
        <v>12</v>
      </c>
      <c r="B13" s="9" t="inlineStr">
        <is>
          <t>2026-09-04</t>
        </is>
      </c>
      <c r="C13" s="9" t="inlineStr">
        <is>
          <t>09/2026</t>
        </is>
      </c>
      <c r="D13" s="7" t="inlineStr">
        <is>
          <t>Conta Caixa PJ</t>
        </is>
      </c>
      <c r="E13" s="9" t="inlineStr">
        <is>
          <t>PJ</t>
        </is>
      </c>
      <c r="F13" s="9" t="inlineStr">
        <is>
          <t>Despesa</t>
        </is>
      </c>
      <c r="G13" s="5" t="inlineStr">
        <is>
          <t>Custos Escritório</t>
        </is>
      </c>
      <c r="H13" s="7" t="inlineStr">
        <is>
          <t>Capacitação &amp; Cursos</t>
        </is>
      </c>
      <c r="I13" s="5" t="inlineStr">
        <is>
          <t>IPOG (Pós-graduação / Especialização Técnica)</t>
        </is>
      </c>
      <c r="J13" s="6" t="n">
        <v>279.14</v>
      </c>
      <c r="K13" s="7" t="inlineStr">
        <is>
          <t>Conta Caixa PJ</t>
        </is>
      </c>
      <c r="L13" s="5" t="inlineStr">
        <is>
          <t>Normal PJ</t>
        </is>
      </c>
      <c r="M13" s="9" t="inlineStr">
        <is>
          <t>Liquidado</t>
        </is>
      </c>
      <c r="N13" s="17" t="inlineStr">
        <is>
          <t>Curso técnico engenharia</t>
        </is>
      </c>
    </row>
    <row r="14">
      <c r="A14" s="9" t="n">
        <v>13</v>
      </c>
      <c r="B14" s="9" t="inlineStr">
        <is>
          <t>2026-09-25</t>
        </is>
      </c>
      <c r="C14" s="9" t="inlineStr">
        <is>
          <t>09/2026</t>
        </is>
      </c>
      <c r="D14" s="7" t="inlineStr">
        <is>
          <t>Conta Caixa PJ</t>
        </is>
      </c>
      <c r="E14" s="9" t="inlineStr">
        <is>
          <t>PJ</t>
        </is>
      </c>
      <c r="F14" s="9" t="inlineStr">
        <is>
          <t>Despesa</t>
        </is>
      </c>
      <c r="G14" s="5" t="inlineStr">
        <is>
          <t>Custos Escritório</t>
        </is>
      </c>
      <c r="H14" s="7" t="inlineStr">
        <is>
          <t>Tarifas Bancárias</t>
        </is>
      </c>
      <c r="I14" s="5" t="inlineStr">
        <is>
          <t>Tarifa Manutenção Conta Caixa PJ</t>
        </is>
      </c>
      <c r="J14" s="6" t="n">
        <v>73</v>
      </c>
      <c r="K14" s="7" t="inlineStr">
        <is>
          <t>Conta Caixa PJ</t>
        </is>
      </c>
      <c r="L14" s="5" t="inlineStr">
        <is>
          <t>Normal PJ</t>
        </is>
      </c>
      <c r="M14" s="9" t="inlineStr">
        <is>
          <t>Liquidado</t>
        </is>
      </c>
      <c r="N14" s="17" t="inlineStr">
        <is>
          <t>Tarifa de cesta PJ</t>
        </is>
      </c>
    </row>
    <row r="15">
      <c r="A15" s="9" t="n">
        <v>14</v>
      </c>
      <c r="B15" s="9" t="inlineStr">
        <is>
          <t>2026-09-04</t>
        </is>
      </c>
      <c r="C15" s="9" t="inlineStr">
        <is>
          <t>09/2026</t>
        </is>
      </c>
      <c r="D15" s="7" t="inlineStr">
        <is>
          <t>Conta Caixa PJ</t>
        </is>
      </c>
      <c r="E15" s="9" t="inlineStr">
        <is>
          <t>PJ</t>
        </is>
      </c>
      <c r="F15" s="9" t="inlineStr">
        <is>
          <t>Despesa</t>
        </is>
      </c>
      <c r="G15" s="5" t="inlineStr">
        <is>
          <t>Custos Escritório</t>
        </is>
      </c>
      <c r="H15" s="7" t="inlineStr">
        <is>
          <t>Tarifas Bancárias</t>
        </is>
      </c>
      <c r="I15" s="5" t="inlineStr">
        <is>
          <t>Tarifa Pix Caixa PJ</t>
        </is>
      </c>
      <c r="J15" s="6" t="n">
        <v>8.5</v>
      </c>
      <c r="K15" s="7" t="inlineStr">
        <is>
          <t>Conta Caixa PJ</t>
        </is>
      </c>
      <c r="L15" s="5" t="inlineStr">
        <is>
          <t>Normal PJ</t>
        </is>
      </c>
      <c r="M15" s="9" t="inlineStr">
        <is>
          <t>Liquidado</t>
        </is>
      </c>
      <c r="N15" s="17" t="inlineStr">
        <is>
          <t>Tarifa transferência Pix</t>
        </is>
      </c>
    </row>
    <row r="16">
      <c r="A16" s="9" t="n">
        <v>15</v>
      </c>
      <c r="B16" s="9" t="inlineStr">
        <is>
          <t>2026-09-28</t>
        </is>
      </c>
      <c r="C16" s="9" t="inlineStr">
        <is>
          <t>09/2026</t>
        </is>
      </c>
      <c r="D16" s="7" t="inlineStr">
        <is>
          <t>Conta Caixa PJ</t>
        </is>
      </c>
      <c r="E16" s="9" t="inlineStr">
        <is>
          <t>PJ</t>
        </is>
      </c>
      <c r="F16" s="9" t="inlineStr">
        <is>
          <t>Despesa</t>
        </is>
      </c>
      <c r="G16" s="5" t="inlineStr">
        <is>
          <t>Custos Escritório</t>
        </is>
      </c>
      <c r="H16" s="7" t="inlineStr">
        <is>
          <t>Tarifas Bancárias</t>
        </is>
      </c>
      <c r="I16" s="5" t="inlineStr">
        <is>
          <t>Tarifa Pix Caixa PJ</t>
        </is>
      </c>
      <c r="J16" s="6" t="n">
        <v>1.78</v>
      </c>
      <c r="K16" s="7" t="inlineStr">
        <is>
          <t>Conta Caixa PJ</t>
        </is>
      </c>
      <c r="L16" s="5" t="inlineStr">
        <is>
          <t>Normal PJ</t>
        </is>
      </c>
      <c r="M16" s="9" t="inlineStr">
        <is>
          <t>Liquidado</t>
        </is>
      </c>
      <c r="N16" s="17" t="inlineStr">
        <is>
          <t>Tarifa transferência Pix</t>
        </is>
      </c>
    </row>
    <row r="17">
      <c r="A17" s="9" t="n">
        <v>16</v>
      </c>
      <c r="B17" s="9" t="inlineStr">
        <is>
          <t>2026-09-30</t>
        </is>
      </c>
      <c r="C17" s="9" t="inlineStr">
        <is>
          <t>09/2026</t>
        </is>
      </c>
      <c r="D17" s="7" t="inlineStr">
        <is>
          <t>Conta Caixa PJ</t>
        </is>
      </c>
      <c r="E17" s="9" t="inlineStr">
        <is>
          <t>PJ</t>
        </is>
      </c>
      <c r="F17" s="9" t="inlineStr">
        <is>
          <t>Despesa</t>
        </is>
      </c>
      <c r="G17" s="5" t="inlineStr">
        <is>
          <t>Custos Escritório</t>
        </is>
      </c>
      <c r="H17" s="7" t="inlineStr">
        <is>
          <t>Tarifas Bancárias</t>
        </is>
      </c>
      <c r="I17" s="5" t="inlineStr">
        <is>
          <t>Tarifa Pix Caixa PJ</t>
        </is>
      </c>
      <c r="J17" s="6" t="n">
        <v>1.51</v>
      </c>
      <c r="K17" s="7" t="inlineStr">
        <is>
          <t>Conta Caixa PJ</t>
        </is>
      </c>
      <c r="L17" s="5" t="inlineStr">
        <is>
          <t>Normal PJ</t>
        </is>
      </c>
      <c r="M17" s="9" t="inlineStr">
        <is>
          <t>Liquidado</t>
        </is>
      </c>
      <c r="N17" s="17" t="inlineStr">
        <is>
          <t>Tarifa transferência Pix</t>
        </is>
      </c>
    </row>
    <row r="18">
      <c r="A18" s="9" t="n">
        <v>17</v>
      </c>
      <c r="B18" s="9" t="inlineStr">
        <is>
          <t>2026-08-31</t>
        </is>
      </c>
      <c r="C18" s="9" t="inlineStr">
        <is>
          <t>09/2026</t>
        </is>
      </c>
      <c r="D18" s="7" t="inlineStr">
        <is>
          <t>Cartão Nubank PJ</t>
        </is>
      </c>
      <c r="E18" s="9" t="inlineStr">
        <is>
          <t>PJ</t>
        </is>
      </c>
      <c r="F18" s="9" t="inlineStr">
        <is>
          <t>Despesa</t>
        </is>
      </c>
      <c r="G18" s="5" t="inlineStr">
        <is>
          <t>Custos Escritório</t>
        </is>
      </c>
      <c r="H18" s="7" t="inlineStr">
        <is>
          <t>Viagens &amp; Deslocamento</t>
        </is>
      </c>
      <c r="I18" s="5" t="inlineStr">
        <is>
          <t>Gol Linhas Aéreas - Parcela 2/2</t>
        </is>
      </c>
      <c r="J18" s="6" t="n">
        <v>462.95</v>
      </c>
      <c r="K18" s="7" t="inlineStr">
        <is>
          <t>Cartão Nubank PJ</t>
        </is>
      </c>
      <c r="L18" s="5" t="inlineStr">
        <is>
          <t>Normal PJ</t>
        </is>
      </c>
      <c r="M18" s="9" t="inlineStr">
        <is>
          <t>Liquidado</t>
        </is>
      </c>
      <c r="N18" s="17" t="inlineStr">
        <is>
          <t>ÚLTIMA PARCELA 2/2 - Concluída</t>
        </is>
      </c>
    </row>
    <row r="19">
      <c r="A19" s="9" t="n">
        <v>18</v>
      </c>
      <c r="B19" s="9" t="inlineStr">
        <is>
          <t>2026-08-31</t>
        </is>
      </c>
      <c r="C19" s="9" t="inlineStr">
        <is>
          <t>09/2026</t>
        </is>
      </c>
      <c r="D19" s="7" t="inlineStr">
        <is>
          <t>Cartão Nubank PJ</t>
        </is>
      </c>
      <c r="E19" s="9" t="inlineStr">
        <is>
          <t>PJ</t>
        </is>
      </c>
      <c r="F19" s="9" t="inlineStr">
        <is>
          <t>Despesa</t>
        </is>
      </c>
      <c r="G19" s="5" t="inlineStr">
        <is>
          <t>Custos Escritório</t>
        </is>
      </c>
      <c r="H19" s="7" t="inlineStr">
        <is>
          <t>Viagens &amp; Deslocamento</t>
        </is>
      </c>
      <c r="I19" s="5" t="inlineStr">
        <is>
          <t>Gol Linhas Aéreas - Parcela 2/3</t>
        </is>
      </c>
      <c r="J19" s="6" t="n">
        <v>246.57</v>
      </c>
      <c r="K19" s="7" t="inlineStr">
        <is>
          <t>Cartão Nubank PJ</t>
        </is>
      </c>
      <c r="L19" s="5" t="inlineStr">
        <is>
          <t>Normal PJ</t>
        </is>
      </c>
      <c r="M19" s="9" t="inlineStr">
        <is>
          <t>Liquidado</t>
        </is>
      </c>
      <c r="N19" s="17" t="inlineStr">
        <is>
          <t>Parcela 2 de 3 (Encerra em Out)</t>
        </is>
      </c>
    </row>
    <row r="20">
      <c r="A20" s="9" t="n">
        <v>19</v>
      </c>
      <c r="B20" s="9" t="inlineStr">
        <is>
          <t>2026-08-31</t>
        </is>
      </c>
      <c r="C20" s="9" t="inlineStr">
        <is>
          <t>09/2026</t>
        </is>
      </c>
      <c r="D20" s="7" t="inlineStr">
        <is>
          <t>Cartão Nubank PJ</t>
        </is>
      </c>
      <c r="E20" s="9" t="inlineStr">
        <is>
          <t>PJ</t>
        </is>
      </c>
      <c r="F20" s="9" t="inlineStr">
        <is>
          <t>Despesa</t>
        </is>
      </c>
      <c r="G20" s="5" t="inlineStr">
        <is>
          <t>Custos Escritório</t>
        </is>
      </c>
      <c r="H20" s="7" t="inlineStr">
        <is>
          <t>Operação &amp; Frota</t>
        </is>
      </c>
      <c r="I20" s="5" t="inlineStr">
        <is>
          <t>Azul Seguros - Parcela 9/10</t>
        </is>
      </c>
      <c r="J20" s="6" t="n">
        <v>238.77</v>
      </c>
      <c r="K20" s="7" t="inlineStr">
        <is>
          <t>Cartão Nubank PJ</t>
        </is>
      </c>
      <c r="L20" s="5" t="inlineStr">
        <is>
          <t>Normal PJ</t>
        </is>
      </c>
      <c r="M20" s="9" t="inlineStr">
        <is>
          <t>Liquidado</t>
        </is>
      </c>
      <c r="N20" s="17" t="inlineStr">
        <is>
          <t>Seguro auto parcela 9 de 10</t>
        </is>
      </c>
    </row>
    <row r="21">
      <c r="A21" s="9" t="n">
        <v>20</v>
      </c>
      <c r="B21" s="9" t="inlineStr">
        <is>
          <t>2026-09-03</t>
        </is>
      </c>
      <c r="C21" s="9" t="inlineStr">
        <is>
          <t>09/2026</t>
        </is>
      </c>
      <c r="D21" s="7" t="inlineStr">
        <is>
          <t>Conta Nubank PJ</t>
        </is>
      </c>
      <c r="E21" s="9" t="inlineStr">
        <is>
          <t>PJ</t>
        </is>
      </c>
      <c r="F21" s="9" t="inlineStr">
        <is>
          <t>Despesa</t>
        </is>
      </c>
      <c r="G21" s="5" t="inlineStr">
        <is>
          <t>Custos Escritório</t>
        </is>
      </c>
      <c r="H21" s="7" t="inlineStr">
        <is>
          <t>Serviços Operacionais</t>
        </is>
      </c>
      <c r="I21" s="5" t="inlineStr">
        <is>
          <t>Luciano de Oliveira Leite (Mercado Pago)</t>
        </is>
      </c>
      <c r="J21" s="6" t="n">
        <v>75</v>
      </c>
      <c r="K21" s="7" t="inlineStr">
        <is>
          <t>Conta Nubank PJ</t>
        </is>
      </c>
      <c r="L21" s="5" t="inlineStr">
        <is>
          <t>Normal PJ</t>
        </is>
      </c>
      <c r="M21" s="9" t="inlineStr">
        <is>
          <t>Liquidado</t>
        </is>
      </c>
      <c r="N21" s="17" t="inlineStr">
        <is>
          <t>Serviço operacional</t>
        </is>
      </c>
    </row>
    <row r="22">
      <c r="A22" s="9" t="n">
        <v>21</v>
      </c>
      <c r="B22" s="9" t="inlineStr">
        <is>
          <t>2026-09-03</t>
        </is>
      </c>
      <c r="C22" s="9" t="inlineStr">
        <is>
          <t>09/2026</t>
        </is>
      </c>
      <c r="D22" s="7" t="inlineStr">
        <is>
          <t>Conta Nubank PJ</t>
        </is>
      </c>
      <c r="E22" s="9" t="inlineStr">
        <is>
          <t>PJ</t>
        </is>
      </c>
      <c r="F22" s="9" t="inlineStr">
        <is>
          <t>Despesa</t>
        </is>
      </c>
      <c r="G22" s="5" t="inlineStr">
        <is>
          <t>Custos Escritório</t>
        </is>
      </c>
      <c r="H22" s="7" t="inlineStr">
        <is>
          <t>Serviços Operacionais</t>
        </is>
      </c>
      <c r="I22" s="5" t="inlineStr">
        <is>
          <t>Solver Instituição de Pagamentos</t>
        </is>
      </c>
      <c r="J22" s="6" t="n">
        <v>62.8</v>
      </c>
      <c r="K22" s="7" t="inlineStr">
        <is>
          <t>Conta Nubank PJ</t>
        </is>
      </c>
      <c r="L22" s="5" t="inlineStr">
        <is>
          <t>Normal PJ</t>
        </is>
      </c>
      <c r="M22" s="9" t="inlineStr">
        <is>
          <t>Liquidado</t>
        </is>
      </c>
      <c r="N22" s="17" t="inlineStr">
        <is>
          <t>Serviço operacional</t>
        </is>
      </c>
    </row>
    <row r="23">
      <c r="A23" s="9" t="n">
        <v>22</v>
      </c>
      <c r="B23" s="9" t="inlineStr">
        <is>
          <t>2026-09-03</t>
        </is>
      </c>
      <c r="C23" s="9" t="inlineStr">
        <is>
          <t>09/2026</t>
        </is>
      </c>
      <c r="D23" s="7" t="inlineStr">
        <is>
          <t>Conta Nubank PJ</t>
        </is>
      </c>
      <c r="E23" s="9" t="inlineStr">
        <is>
          <t>PJ</t>
        </is>
      </c>
      <c r="F23" s="9" t="inlineStr">
        <is>
          <t>Despesa</t>
        </is>
      </c>
      <c r="G23" s="5" t="inlineStr">
        <is>
          <t>Custos Escritório</t>
        </is>
      </c>
      <c r="H23" s="7" t="inlineStr">
        <is>
          <t>Serviços Operacionais</t>
        </is>
      </c>
      <c r="I23" s="5" t="inlineStr">
        <is>
          <t>Solver Instituição de Pagamentos</t>
        </is>
      </c>
      <c r="J23" s="6" t="n">
        <v>39.53</v>
      </c>
      <c r="K23" s="7" t="inlineStr">
        <is>
          <t>Conta Nubank PJ</t>
        </is>
      </c>
      <c r="L23" s="5" t="inlineStr">
        <is>
          <t>Normal PJ</t>
        </is>
      </c>
      <c r="M23" s="9" t="inlineStr">
        <is>
          <t>Liquidado</t>
        </is>
      </c>
      <c r="N23" s="17" t="inlineStr">
        <is>
          <t>Serviço operacional</t>
        </is>
      </c>
    </row>
    <row r="24">
      <c r="A24" s="9" t="n">
        <v>23</v>
      </c>
      <c r="B24" s="9" t="inlineStr">
        <is>
          <t>2026-09-01</t>
        </is>
      </c>
      <c r="C24" s="9" t="inlineStr">
        <is>
          <t>09/2026</t>
        </is>
      </c>
      <c r="D24" s="7" t="inlineStr">
        <is>
          <t>Conta Nubank PJ</t>
        </is>
      </c>
      <c r="E24" s="9" t="inlineStr">
        <is>
          <t>PJ</t>
        </is>
      </c>
      <c r="F24" s="9" t="inlineStr">
        <is>
          <t>Despesa</t>
        </is>
      </c>
      <c r="G24" s="5" t="inlineStr">
        <is>
          <t>Custos Escritório</t>
        </is>
      </c>
      <c r="H24" s="7" t="inlineStr">
        <is>
          <t>Alimentação Operacional</t>
        </is>
      </c>
      <c r="I24" s="5" t="inlineStr">
        <is>
          <t>iFood Escritório</t>
        </is>
      </c>
      <c r="J24" s="6" t="n">
        <v>15.89</v>
      </c>
      <c r="K24" s="7" t="inlineStr">
        <is>
          <t>Conta Nubank PJ</t>
        </is>
      </c>
      <c r="L24" s="5" t="inlineStr">
        <is>
          <t>Normal PJ</t>
        </is>
      </c>
      <c r="M24" s="9" t="inlineStr">
        <is>
          <t>Liquidado</t>
        </is>
      </c>
      <c r="N24" s="17" t="inlineStr">
        <is>
          <t>Refeição em trabalho</t>
        </is>
      </c>
    </row>
    <row r="25">
      <c r="A25" s="9" t="n">
        <v>24</v>
      </c>
      <c r="B25" s="9" t="inlineStr">
        <is>
          <t>2026-09-02</t>
        </is>
      </c>
      <c r="C25" s="9" t="inlineStr">
        <is>
          <t>09/2026</t>
        </is>
      </c>
      <c r="D25" s="7" t="inlineStr">
        <is>
          <t>Conta Nubank PJ</t>
        </is>
      </c>
      <c r="E25" s="9" t="inlineStr">
        <is>
          <t>PJ</t>
        </is>
      </c>
      <c r="F25" s="9" t="inlineStr">
        <is>
          <t>Despesa</t>
        </is>
      </c>
      <c r="G25" s="5" t="inlineStr">
        <is>
          <t>Custos Escritório</t>
        </is>
      </c>
      <c r="H25" s="7" t="inlineStr">
        <is>
          <t>Alimentação Operacional</t>
        </is>
      </c>
      <c r="I25" s="5" t="inlineStr">
        <is>
          <t>iFood Escritório</t>
        </is>
      </c>
      <c r="J25" s="6" t="n">
        <v>12.89</v>
      </c>
      <c r="K25" s="7" t="inlineStr">
        <is>
          <t>Conta Nubank PJ</t>
        </is>
      </c>
      <c r="L25" s="5" t="inlineStr">
        <is>
          <t>Normal PJ</t>
        </is>
      </c>
      <c r="M25" s="9" t="inlineStr">
        <is>
          <t>Liquidado</t>
        </is>
      </c>
      <c r="N25" s="17" t="inlineStr">
        <is>
          <t>Refeição em trabalho</t>
        </is>
      </c>
    </row>
    <row r="26">
      <c r="A26" s="9" t="n">
        <v>25</v>
      </c>
      <c r="B26" s="9" t="inlineStr">
        <is>
          <t>2026-09-19</t>
        </is>
      </c>
      <c r="C26" s="9" t="inlineStr">
        <is>
          <t>09/2026</t>
        </is>
      </c>
      <c r="D26" s="7" t="inlineStr">
        <is>
          <t>Conta Nubank PJ</t>
        </is>
      </c>
      <c r="E26" s="9" t="inlineStr">
        <is>
          <t>PJ</t>
        </is>
      </c>
      <c r="F26" s="9" t="inlineStr">
        <is>
          <t>Despesa</t>
        </is>
      </c>
      <c r="G26" s="5" t="inlineStr">
        <is>
          <t>Custos Escritório</t>
        </is>
      </c>
      <c r="H26" s="7" t="inlineStr">
        <is>
          <t>Deslocamento Operacional</t>
        </is>
      </c>
      <c r="I26" s="5" t="inlineStr">
        <is>
          <t>Anilton de Paula Martins</t>
        </is>
      </c>
      <c r="J26" s="6" t="n">
        <v>94.59999999999999</v>
      </c>
      <c r="K26" s="7" t="inlineStr">
        <is>
          <t>Conta Nubank PJ</t>
        </is>
      </c>
      <c r="L26" s="5" t="inlineStr">
        <is>
          <t>Normal PJ</t>
        </is>
      </c>
      <c r="M26" s="9" t="inlineStr">
        <is>
          <t>Liquidado</t>
        </is>
      </c>
      <c r="N26" s="17" t="inlineStr">
        <is>
          <t>Deslocamento</t>
        </is>
      </c>
    </row>
    <row r="27">
      <c r="A27" s="9" t="n">
        <v>26</v>
      </c>
      <c r="B27" s="9" t="inlineStr">
        <is>
          <t>2026-09-19</t>
        </is>
      </c>
      <c r="C27" s="9" t="inlineStr">
        <is>
          <t>09/2026</t>
        </is>
      </c>
      <c r="D27" s="7" t="inlineStr">
        <is>
          <t>Conta Nubank PJ</t>
        </is>
      </c>
      <c r="E27" s="9" t="inlineStr">
        <is>
          <t>PJ</t>
        </is>
      </c>
      <c r="F27" s="9" t="inlineStr">
        <is>
          <t>Despesa</t>
        </is>
      </c>
      <c r="G27" s="5" t="inlineStr">
        <is>
          <t>Custos Escritório</t>
        </is>
      </c>
      <c r="H27" s="7" t="inlineStr">
        <is>
          <t>Deslocamento Operacional</t>
        </is>
      </c>
      <c r="I27" s="5" t="inlineStr">
        <is>
          <t>Ueder Alcantara Cassiano</t>
        </is>
      </c>
      <c r="J27" s="6" t="n">
        <v>26</v>
      </c>
      <c r="K27" s="7" t="inlineStr">
        <is>
          <t>Conta Nubank PJ</t>
        </is>
      </c>
      <c r="L27" s="5" t="inlineStr">
        <is>
          <t>Normal PJ</t>
        </is>
      </c>
      <c r="M27" s="9" t="inlineStr">
        <is>
          <t>Liquidado</t>
        </is>
      </c>
      <c r="N27" s="17" t="inlineStr">
        <is>
          <t>Deslocamento</t>
        </is>
      </c>
    </row>
    <row r="28">
      <c r="A28" s="9" t="n">
        <v>27</v>
      </c>
      <c r="B28" s="9" t="inlineStr">
        <is>
          <t>2026-09-19</t>
        </is>
      </c>
      <c r="C28" s="9" t="inlineStr">
        <is>
          <t>09/2026</t>
        </is>
      </c>
      <c r="D28" s="7" t="inlineStr">
        <is>
          <t>Conta Nubank PJ</t>
        </is>
      </c>
      <c r="E28" s="9" t="inlineStr">
        <is>
          <t>PJ</t>
        </is>
      </c>
      <c r="F28" s="9" t="inlineStr">
        <is>
          <t>Despesa</t>
        </is>
      </c>
      <c r="G28" s="5" t="inlineStr">
        <is>
          <t>Custos Escritório</t>
        </is>
      </c>
      <c r="H28" s="7" t="inlineStr">
        <is>
          <t>Deslocamento Operacional</t>
        </is>
      </c>
      <c r="I28" s="5" t="inlineStr">
        <is>
          <t>Ueder Alcantara Cassiano</t>
        </is>
      </c>
      <c r="J28" s="6" t="n">
        <v>39</v>
      </c>
      <c r="K28" s="7" t="inlineStr">
        <is>
          <t>Conta Nubank PJ</t>
        </is>
      </c>
      <c r="L28" s="5" t="inlineStr">
        <is>
          <t>Normal PJ</t>
        </is>
      </c>
      <c r="M28" s="9" t="inlineStr">
        <is>
          <t>Liquidado</t>
        </is>
      </c>
      <c r="N28" s="17" t="inlineStr">
        <is>
          <t>Deslocamento</t>
        </is>
      </c>
    </row>
    <row r="29">
      <c r="A29" s="9" t="n">
        <v>28</v>
      </c>
      <c r="B29" s="9" t="inlineStr">
        <is>
          <t>2026-09-19</t>
        </is>
      </c>
      <c r="C29" s="9" t="inlineStr">
        <is>
          <t>09/2026</t>
        </is>
      </c>
      <c r="D29" s="7" t="inlineStr">
        <is>
          <t>Conta Nubank PJ</t>
        </is>
      </c>
      <c r="E29" s="9" t="inlineStr">
        <is>
          <t>PJ</t>
        </is>
      </c>
      <c r="F29" s="9" t="inlineStr">
        <is>
          <t>Despesa</t>
        </is>
      </c>
      <c r="G29" s="5" t="inlineStr">
        <is>
          <t>Custos Escritório</t>
        </is>
      </c>
      <c r="H29" s="7" t="inlineStr">
        <is>
          <t>Deslocamento Operacional</t>
        </is>
      </c>
      <c r="I29" s="5" t="inlineStr">
        <is>
          <t>Emerson Rodrigo Cardoso</t>
        </is>
      </c>
      <c r="J29" s="6" t="n">
        <v>6</v>
      </c>
      <c r="K29" s="7" t="inlineStr">
        <is>
          <t>Conta Nubank PJ</t>
        </is>
      </c>
      <c r="L29" s="5" t="inlineStr">
        <is>
          <t>Normal PJ</t>
        </is>
      </c>
      <c r="M29" s="9" t="inlineStr">
        <is>
          <t>Liquidado</t>
        </is>
      </c>
      <c r="N29" s="17" t="inlineStr">
        <is>
          <t>Deslocamento</t>
        </is>
      </c>
    </row>
    <row r="30">
      <c r="A30" s="9" t="n">
        <v>29</v>
      </c>
      <c r="B30" s="9" t="inlineStr">
        <is>
          <t>2026-09-19</t>
        </is>
      </c>
      <c r="C30" s="9" t="inlineStr">
        <is>
          <t>09/2026</t>
        </is>
      </c>
      <c r="D30" s="7" t="inlineStr">
        <is>
          <t>Conta Nubank PJ</t>
        </is>
      </c>
      <c r="E30" s="9" t="inlineStr">
        <is>
          <t>PJ</t>
        </is>
      </c>
      <c r="F30" s="9" t="inlineStr">
        <is>
          <t>Despesa</t>
        </is>
      </c>
      <c r="G30" s="5" t="inlineStr">
        <is>
          <t>Custos Escritório</t>
        </is>
      </c>
      <c r="H30" s="7" t="inlineStr">
        <is>
          <t>Deslocamento Operacional</t>
        </is>
      </c>
      <c r="I30" s="5" t="inlineStr">
        <is>
          <t>Mercadinho 24h</t>
        </is>
      </c>
      <c r="J30" s="6" t="n">
        <v>7.98</v>
      </c>
      <c r="K30" s="7" t="inlineStr">
        <is>
          <t>Conta Nubank PJ</t>
        </is>
      </c>
      <c r="L30" s="5" t="inlineStr">
        <is>
          <t>Normal PJ</t>
        </is>
      </c>
      <c r="M30" s="9" t="inlineStr">
        <is>
          <t>Liquidado</t>
        </is>
      </c>
      <c r="N30" s="17" t="inlineStr">
        <is>
          <t>Despesa em trânsito</t>
        </is>
      </c>
    </row>
    <row r="31">
      <c r="A31" s="9" t="n">
        <v>30</v>
      </c>
      <c r="B31" s="9" t="inlineStr">
        <is>
          <t>2026-09-01</t>
        </is>
      </c>
      <c r="C31" s="9" t="inlineStr">
        <is>
          <t>09/2026</t>
        </is>
      </c>
      <c r="D31" s="7" t="inlineStr">
        <is>
          <t>Conta Caixa PJ</t>
        </is>
      </c>
      <c r="E31" s="9" t="inlineStr">
        <is>
          <t>PF</t>
        </is>
      </c>
      <c r="F31" s="9" t="inlineStr">
        <is>
          <t>Despesa</t>
        </is>
      </c>
      <c r="G31" s="5" t="inlineStr">
        <is>
          <t>Transporte &amp; Veículos</t>
        </is>
      </c>
      <c r="H31" s="7" t="inlineStr">
        <is>
          <t>Parcela Carro</t>
        </is>
      </c>
      <c r="I31" s="5" t="inlineStr">
        <is>
          <t>Banco RCI Brasil (Parcela Financiamento)</t>
        </is>
      </c>
      <c r="J31" s="6" t="n">
        <v>2080.09</v>
      </c>
      <c r="K31" s="7" t="inlineStr">
        <is>
          <t>Conta Caixa PJ</t>
        </is>
      </c>
      <c r="L31" s="5" t="inlineStr">
        <is>
          <t>PJ bancou PF</t>
        </is>
      </c>
      <c r="M31" s="9" t="inlineStr">
        <is>
          <t>Liquidado</t>
        </is>
      </c>
      <c r="N31" s="17" t="inlineStr">
        <is>
          <t>Parcela mensal regular do veículo</t>
        </is>
      </c>
    </row>
    <row r="32">
      <c r="A32" s="9" t="n">
        <v>31</v>
      </c>
      <c r="B32" s="9" t="inlineStr">
        <is>
          <t>2026-09-28</t>
        </is>
      </c>
      <c r="C32" s="9" t="inlineStr">
        <is>
          <t>09/2026</t>
        </is>
      </c>
      <c r="D32" s="7" t="inlineStr">
        <is>
          <t>Conta Caixa PJ</t>
        </is>
      </c>
      <c r="E32" s="9" t="inlineStr">
        <is>
          <t>PF</t>
        </is>
      </c>
      <c r="F32" s="9" t="inlineStr">
        <is>
          <t>Despesa</t>
        </is>
      </c>
      <c r="G32" s="5" t="inlineStr">
        <is>
          <t>Transporte &amp; Veículos</t>
        </is>
      </c>
      <c r="H32" s="7" t="inlineStr">
        <is>
          <t>Parcela Carro</t>
        </is>
      </c>
      <c r="I32" s="5" t="inlineStr">
        <is>
          <t>Banco RCI Brasil (Parcela Financiamento 2)</t>
        </is>
      </c>
      <c r="J32" s="6" t="n">
        <v>2080.09</v>
      </c>
      <c r="K32" s="7" t="inlineStr">
        <is>
          <t>Conta Caixa PJ</t>
        </is>
      </c>
      <c r="L32" s="5" t="inlineStr">
        <is>
          <t>PJ bancou PF</t>
        </is>
      </c>
      <c r="M32" s="9" t="inlineStr">
        <is>
          <t>Liquidado</t>
        </is>
      </c>
      <c r="N32" s="17" t="inlineStr">
        <is>
          <t>Parcela adiantada/regularizada do carro</t>
        </is>
      </c>
    </row>
    <row r="33">
      <c r="A33" s="9" t="n">
        <v>32</v>
      </c>
      <c r="B33" s="9" t="inlineStr">
        <is>
          <t>2026-09-04</t>
        </is>
      </c>
      <c r="C33" s="9" t="inlineStr">
        <is>
          <t>09/2026</t>
        </is>
      </c>
      <c r="D33" s="7" t="inlineStr">
        <is>
          <t>Conta Caixa PJ</t>
        </is>
      </c>
      <c r="E33" s="9" t="inlineStr">
        <is>
          <t>PF</t>
        </is>
      </c>
      <c r="F33" s="9" t="inlineStr">
        <is>
          <t>Despesa</t>
        </is>
      </c>
      <c r="G33" s="5" t="inlineStr">
        <is>
          <t>Investimento Patrimonial</t>
        </is>
      </c>
      <c r="H33" s="7" t="inlineStr">
        <is>
          <t>Apto Salvador (Na Planta)</t>
        </is>
      </c>
      <c r="I33" s="5" t="inlineStr">
        <is>
          <t>Costa Azul Salvador / Ocean Breeze</t>
        </is>
      </c>
      <c r="J33" s="6" t="n">
        <v>1662.67</v>
      </c>
      <c r="K33" s="7" t="inlineStr">
        <is>
          <t>Conta Caixa PJ</t>
        </is>
      </c>
      <c r="L33" s="5" t="inlineStr">
        <is>
          <t>PJ bancou PF</t>
        </is>
      </c>
      <c r="M33" s="9" t="inlineStr">
        <is>
          <t>Liquidado</t>
        </is>
      </c>
      <c r="N33" s="17" t="inlineStr">
        <is>
          <t>Aquisição de Imóvel na Planta (Patrimônio Líquido) - Pago via PJ</t>
        </is>
      </c>
    </row>
    <row r="34">
      <c r="A34" s="9" t="n">
        <v>33</v>
      </c>
      <c r="B34" s="9" t="inlineStr">
        <is>
          <t>2026-09-18</t>
        </is>
      </c>
      <c r="C34" s="9" t="inlineStr">
        <is>
          <t>09/2026</t>
        </is>
      </c>
      <c r="D34" s="7" t="inlineStr">
        <is>
          <t>Conta Nubank PJ</t>
        </is>
      </c>
      <c r="E34" s="9" t="inlineStr">
        <is>
          <t>PF</t>
        </is>
      </c>
      <c r="F34" s="9" t="inlineStr">
        <is>
          <t>Despesa</t>
        </is>
      </c>
      <c r="G34" s="5" t="inlineStr">
        <is>
          <t>Moradia</t>
        </is>
      </c>
      <c r="H34" s="7" t="inlineStr">
        <is>
          <t>Aluguel Residencial</t>
        </is>
      </c>
      <c r="I34" s="5" t="inlineStr">
        <is>
          <t>Joelma Pereira de Aquino Souza (Aluguel)</t>
        </is>
      </c>
      <c r="J34" s="6" t="n">
        <v>800</v>
      </c>
      <c r="K34" s="7" t="inlineStr">
        <is>
          <t>Conta Nubank PJ</t>
        </is>
      </c>
      <c r="L34" s="5" t="inlineStr">
        <is>
          <t>PJ bancou PF</t>
        </is>
      </c>
      <c r="M34" s="9" t="inlineStr">
        <is>
          <t>Liquidado</t>
        </is>
      </c>
      <c r="N34" s="17" t="inlineStr">
        <is>
          <t>Aluguel residencial pago no PJ</t>
        </is>
      </c>
    </row>
    <row r="35">
      <c r="A35" s="9" t="n">
        <v>34</v>
      </c>
      <c r="B35" s="9" t="inlineStr">
        <is>
          <t>2026-09-30</t>
        </is>
      </c>
      <c r="C35" s="9" t="inlineStr">
        <is>
          <t>09/2026</t>
        </is>
      </c>
      <c r="D35" s="7" t="inlineStr">
        <is>
          <t>Conta Caixa PJ</t>
        </is>
      </c>
      <c r="E35" s="9" t="inlineStr">
        <is>
          <t>PF</t>
        </is>
      </c>
      <c r="F35" s="9" t="inlineStr">
        <is>
          <t>Despesa</t>
        </is>
      </c>
      <c r="G35" s="5" t="inlineStr">
        <is>
          <t>Moradia</t>
        </is>
      </c>
      <c r="H35" s="7" t="inlineStr">
        <is>
          <t>Energia Elétrica</t>
        </is>
      </c>
      <c r="I35" s="5" t="inlineStr">
        <is>
          <t>CEMIG Distribuição MG (Conta 1)</t>
        </is>
      </c>
      <c r="J35" s="6" t="n">
        <v>382.8</v>
      </c>
      <c r="K35" s="7" t="inlineStr">
        <is>
          <t>Conta Caixa PJ</t>
        </is>
      </c>
      <c r="L35" s="5" t="inlineStr">
        <is>
          <t>PJ bancou PF</t>
        </is>
      </c>
      <c r="M35" s="9" t="inlineStr">
        <is>
          <t>Liquidado</t>
        </is>
      </c>
      <c r="N35" s="17" t="inlineStr">
        <is>
          <t>Energia residencial Pouso Alegre</t>
        </is>
      </c>
    </row>
    <row r="36">
      <c r="A36" s="9" t="n">
        <v>35</v>
      </c>
      <c r="B36" s="9" t="inlineStr">
        <is>
          <t>2026-09-30</t>
        </is>
      </c>
      <c r="C36" s="9" t="inlineStr">
        <is>
          <t>09/2026</t>
        </is>
      </c>
      <c r="D36" s="7" t="inlineStr">
        <is>
          <t>Conta Caixa PJ</t>
        </is>
      </c>
      <c r="E36" s="9" t="inlineStr">
        <is>
          <t>PF</t>
        </is>
      </c>
      <c r="F36" s="9" t="inlineStr">
        <is>
          <t>Despesa</t>
        </is>
      </c>
      <c r="G36" s="5" t="inlineStr">
        <is>
          <t>Moradia</t>
        </is>
      </c>
      <c r="H36" s="7" t="inlineStr">
        <is>
          <t>Energia Elétrica</t>
        </is>
      </c>
      <c r="I36" s="5" t="inlineStr">
        <is>
          <t>CEMIG Distribuição MG (Conta 2)</t>
        </is>
      </c>
      <c r="J36" s="6" t="n">
        <v>174.21</v>
      </c>
      <c r="K36" s="7" t="inlineStr">
        <is>
          <t>Conta Caixa PJ</t>
        </is>
      </c>
      <c r="L36" s="5" t="inlineStr">
        <is>
          <t>PJ bancou PF</t>
        </is>
      </c>
      <c r="M36" s="9" t="inlineStr">
        <is>
          <t>Liquidado</t>
        </is>
      </c>
      <c r="N36" s="17" t="inlineStr">
        <is>
          <t>Energia residencial</t>
        </is>
      </c>
    </row>
    <row r="37">
      <c r="A37" s="9" t="n">
        <v>36</v>
      </c>
      <c r="B37" s="9" t="inlineStr">
        <is>
          <t>2026-09-18</t>
        </is>
      </c>
      <c r="C37" s="9" t="inlineStr">
        <is>
          <t>09/2026</t>
        </is>
      </c>
      <c r="D37" s="7" t="inlineStr">
        <is>
          <t>Conta Nubank PJ</t>
        </is>
      </c>
      <c r="E37" s="9" t="inlineStr">
        <is>
          <t>PF</t>
        </is>
      </c>
      <c r="F37" s="9" t="inlineStr">
        <is>
          <t>Despesa</t>
        </is>
      </c>
      <c r="G37" s="5" t="inlineStr">
        <is>
          <t>Saúde &amp; Bem-Estar</t>
        </is>
      </c>
      <c r="H37" s="7" t="inlineStr">
        <is>
          <t>Atividades Físicas</t>
        </is>
      </c>
      <c r="I37" s="5" t="inlineStr">
        <is>
          <t>Escola Respect 4 Jiu-Jitsu</t>
        </is>
      </c>
      <c r="J37" s="6" t="n">
        <v>500</v>
      </c>
      <c r="K37" s="7" t="inlineStr">
        <is>
          <t>Conta Nubank PJ</t>
        </is>
      </c>
      <c r="L37" s="5" t="inlineStr">
        <is>
          <t>PJ bancou PF</t>
        </is>
      </c>
      <c r="M37" s="9" t="inlineStr">
        <is>
          <t>Liquidado</t>
        </is>
      </c>
      <c r="N37" s="17" t="inlineStr">
        <is>
          <t>Jiu-jitsu pago no Nubank PJ</t>
        </is>
      </c>
    </row>
    <row r="38">
      <c r="A38" s="9" t="n">
        <v>37</v>
      </c>
      <c r="B38" s="9" t="inlineStr">
        <is>
          <t>2026-09-30</t>
        </is>
      </c>
      <c r="C38" s="9" t="inlineStr">
        <is>
          <t>09/2026</t>
        </is>
      </c>
      <c r="D38" s="7" t="inlineStr">
        <is>
          <t>Conta Caixa PJ</t>
        </is>
      </c>
      <c r="E38" s="9" t="inlineStr">
        <is>
          <t>PF</t>
        </is>
      </c>
      <c r="F38" s="9" t="inlineStr">
        <is>
          <t>Despesa</t>
        </is>
      </c>
      <c r="G38" s="5" t="inlineStr">
        <is>
          <t>Saúde &amp; Bem-Estar</t>
        </is>
      </c>
      <c r="H38" s="7" t="inlineStr">
        <is>
          <t>Atividades Físicas</t>
        </is>
      </c>
      <c r="I38" s="5" t="inlineStr">
        <is>
          <t>Escola de Lutas BL</t>
        </is>
      </c>
      <c r="J38" s="6" t="n">
        <v>169.9</v>
      </c>
      <c r="K38" s="7" t="inlineStr">
        <is>
          <t>Conta Caixa PJ</t>
        </is>
      </c>
      <c r="L38" s="5" t="inlineStr">
        <is>
          <t>PJ bancou PF</t>
        </is>
      </c>
      <c r="M38" s="9" t="inlineStr">
        <is>
          <t>Liquidado</t>
        </is>
      </c>
      <c r="N38" s="17" t="inlineStr">
        <is>
          <t>Mensalidade de lutas na Caixa PJ</t>
        </is>
      </c>
    </row>
    <row r="39">
      <c r="A39" s="9" t="n">
        <v>38</v>
      </c>
      <c r="B39" s="9" t="inlineStr">
        <is>
          <t>2026-09-03</t>
        </is>
      </c>
      <c r="C39" s="9" t="inlineStr">
        <is>
          <t>09/2026</t>
        </is>
      </c>
      <c r="D39" s="7" t="inlineStr">
        <is>
          <t>Conta Caixa PJ</t>
        </is>
      </c>
      <c r="E39" s="9" t="inlineStr">
        <is>
          <t>PF</t>
        </is>
      </c>
      <c r="F39" s="9" t="inlineStr">
        <is>
          <t>Despesa</t>
        </is>
      </c>
      <c r="G39" s="5" t="inlineStr">
        <is>
          <t>Transporte &amp; Veículos</t>
        </is>
      </c>
      <c r="H39" s="7" t="inlineStr">
        <is>
          <t>Combustível</t>
        </is>
      </c>
      <c r="I39" s="5" t="inlineStr">
        <is>
          <t>Mega Posto (Débito)</t>
        </is>
      </c>
      <c r="J39" s="6" t="n">
        <v>100</v>
      </c>
      <c r="K39" s="7" t="inlineStr">
        <is>
          <t>Conta Caixa PJ</t>
        </is>
      </c>
      <c r="L39" s="5" t="inlineStr">
        <is>
          <t>PJ bancou PF</t>
        </is>
      </c>
      <c r="M39" s="9" t="inlineStr">
        <is>
          <t>Liquidado</t>
        </is>
      </c>
      <c r="N39" s="17" t="inlineStr">
        <is>
          <t>Abastecimento carro</t>
        </is>
      </c>
    </row>
    <row r="40">
      <c r="A40" s="9" t="n">
        <v>39</v>
      </c>
      <c r="B40" s="9" t="inlineStr">
        <is>
          <t>2026-09-03</t>
        </is>
      </c>
      <c r="C40" s="9" t="inlineStr">
        <is>
          <t>09/2026</t>
        </is>
      </c>
      <c r="D40" s="7" t="inlineStr">
        <is>
          <t>Conta Caixa PJ</t>
        </is>
      </c>
      <c r="E40" s="9" t="inlineStr">
        <is>
          <t>PF</t>
        </is>
      </c>
      <c r="F40" s="9" t="inlineStr">
        <is>
          <t>Despesa</t>
        </is>
      </c>
      <c r="G40" s="5" t="inlineStr">
        <is>
          <t>Transporte &amp; Veículos</t>
        </is>
      </c>
      <c r="H40" s="7" t="inlineStr">
        <is>
          <t>Combustível</t>
        </is>
      </c>
      <c r="I40" s="5" t="inlineStr">
        <is>
          <t>Posto Conceição (Débito)</t>
        </is>
      </c>
      <c r="J40" s="6" t="n">
        <v>100</v>
      </c>
      <c r="K40" s="7" t="inlineStr">
        <is>
          <t>Conta Caixa PJ</t>
        </is>
      </c>
      <c r="L40" s="5" t="inlineStr">
        <is>
          <t>PJ bancou PF</t>
        </is>
      </c>
      <c r="M40" s="9" t="inlineStr">
        <is>
          <t>Liquidado</t>
        </is>
      </c>
      <c r="N40" s="17" t="inlineStr">
        <is>
          <t>Abastecimento carro</t>
        </is>
      </c>
    </row>
    <row r="41">
      <c r="A41" s="9" t="n">
        <v>40</v>
      </c>
      <c r="B41" s="9" t="inlineStr">
        <is>
          <t>2026-09-03</t>
        </is>
      </c>
      <c r="C41" s="9" t="inlineStr">
        <is>
          <t>09/2026</t>
        </is>
      </c>
      <c r="D41" s="7" t="inlineStr">
        <is>
          <t>Conta Caixa PJ</t>
        </is>
      </c>
      <c r="E41" s="9" t="inlineStr">
        <is>
          <t>PF</t>
        </is>
      </c>
      <c r="F41" s="9" t="inlineStr">
        <is>
          <t>Despesa</t>
        </is>
      </c>
      <c r="G41" s="5" t="inlineStr">
        <is>
          <t>Transporte &amp; Veículos</t>
        </is>
      </c>
      <c r="H41" s="7" t="inlineStr">
        <is>
          <t>Pedágio</t>
        </is>
      </c>
      <c r="I41" s="5" t="inlineStr">
        <is>
          <t>Concessionária Bahia Norte (Débito)</t>
        </is>
      </c>
      <c r="J41" s="6" t="n">
        <v>7.7</v>
      </c>
      <c r="K41" s="7" t="inlineStr">
        <is>
          <t>Conta Caixa PJ</t>
        </is>
      </c>
      <c r="L41" s="5" t="inlineStr">
        <is>
          <t>PJ bancou PF</t>
        </is>
      </c>
      <c r="M41" s="9" t="inlineStr">
        <is>
          <t>Liquidado</t>
        </is>
      </c>
      <c r="N41" s="17" t="inlineStr">
        <is>
          <t>Pedágio na estrada</t>
        </is>
      </c>
    </row>
    <row r="42">
      <c r="A42" s="9" t="n">
        <v>41</v>
      </c>
      <c r="B42" s="9" t="inlineStr">
        <is>
          <t>2026-09-26</t>
        </is>
      </c>
      <c r="C42" s="9" t="inlineStr">
        <is>
          <t>09/2026</t>
        </is>
      </c>
      <c r="D42" s="7" t="inlineStr">
        <is>
          <t>Conta Caixa PJ</t>
        </is>
      </c>
      <c r="E42" s="9" t="inlineStr">
        <is>
          <t>PF</t>
        </is>
      </c>
      <c r="F42" s="9" t="inlineStr">
        <is>
          <t>Despesa</t>
        </is>
      </c>
      <c r="G42" s="5" t="inlineStr">
        <is>
          <t>Alimentação</t>
        </is>
      </c>
      <c r="H42" s="7" t="inlineStr">
        <is>
          <t>Supermercados</t>
        </is>
      </c>
      <c r="I42" s="5" t="inlineStr">
        <is>
          <t>Supermercado Buritis</t>
        </is>
      </c>
      <c r="J42" s="6" t="n">
        <v>73.31</v>
      </c>
      <c r="K42" s="7" t="inlineStr">
        <is>
          <t>Conta Caixa PJ</t>
        </is>
      </c>
      <c r="L42" s="5" t="inlineStr">
        <is>
          <t>PJ bancou PF</t>
        </is>
      </c>
      <c r="M42" s="9" t="inlineStr">
        <is>
          <t>Liquidado</t>
        </is>
      </c>
      <c r="N42" s="17" t="inlineStr">
        <is>
          <t>Compra de mercado na Caixa PJ</t>
        </is>
      </c>
    </row>
    <row r="43">
      <c r="A43" s="9" t="n">
        <v>42</v>
      </c>
      <c r="B43" s="9" t="inlineStr">
        <is>
          <t>2026-09-26</t>
        </is>
      </c>
      <c r="C43" s="9" t="inlineStr">
        <is>
          <t>09/2026</t>
        </is>
      </c>
      <c r="D43" s="7" t="inlineStr">
        <is>
          <t>Conta Caixa PJ</t>
        </is>
      </c>
      <c r="E43" s="9" t="inlineStr">
        <is>
          <t>PF</t>
        </is>
      </c>
      <c r="F43" s="9" t="inlineStr">
        <is>
          <t>Despesa</t>
        </is>
      </c>
      <c r="G43" s="5" t="inlineStr">
        <is>
          <t>Alimentação</t>
        </is>
      </c>
      <c r="H43" s="7" t="inlineStr">
        <is>
          <t>Diversos</t>
        </is>
      </c>
      <c r="I43" s="5" t="inlineStr">
        <is>
          <t>Nayara Pereira do</t>
        </is>
      </c>
      <c r="J43" s="6" t="n">
        <v>39</v>
      </c>
      <c r="K43" s="7" t="inlineStr">
        <is>
          <t>Conta Caixa PJ</t>
        </is>
      </c>
      <c r="L43" s="5" t="inlineStr">
        <is>
          <t>PJ bancou PF</t>
        </is>
      </c>
      <c r="M43" s="9" t="inlineStr">
        <is>
          <t>Liquidado</t>
        </is>
      </c>
      <c r="N43" s="17" t="inlineStr">
        <is>
          <t>Despesa pessoal na Caixa PJ</t>
        </is>
      </c>
    </row>
    <row r="44">
      <c r="A44" s="9" t="n">
        <v>43</v>
      </c>
      <c r="B44" s="9" t="inlineStr">
        <is>
          <t>2026-09-26</t>
        </is>
      </c>
      <c r="C44" s="9" t="inlineStr">
        <is>
          <t>09/2026</t>
        </is>
      </c>
      <c r="D44" s="7" t="inlineStr">
        <is>
          <t>Conta Caixa PJ</t>
        </is>
      </c>
      <c r="E44" s="9" t="inlineStr">
        <is>
          <t>PF</t>
        </is>
      </c>
      <c r="F44" s="9" t="inlineStr">
        <is>
          <t>Despesa</t>
        </is>
      </c>
      <c r="G44" s="5" t="inlineStr">
        <is>
          <t>Alimentação</t>
        </is>
      </c>
      <c r="H44" s="7" t="inlineStr">
        <is>
          <t>Diversos</t>
        </is>
      </c>
      <c r="I44" s="5" t="inlineStr">
        <is>
          <t>Nayara Pereira do</t>
        </is>
      </c>
      <c r="J44" s="6" t="n">
        <v>18</v>
      </c>
      <c r="K44" s="7" t="inlineStr">
        <is>
          <t>Conta Caixa PJ</t>
        </is>
      </c>
      <c r="L44" s="5" t="inlineStr">
        <is>
          <t>PJ bancou PF</t>
        </is>
      </c>
      <c r="M44" s="9" t="inlineStr">
        <is>
          <t>Liquidado</t>
        </is>
      </c>
      <c r="N44" s="17" t="inlineStr">
        <is>
          <t>Despesa pessoal na Caixa PJ</t>
        </is>
      </c>
    </row>
    <row r="45">
      <c r="A45" s="9" t="n">
        <v>44</v>
      </c>
      <c r="B45" s="9" t="inlineStr">
        <is>
          <t>2026-09-21</t>
        </is>
      </c>
      <c r="C45" s="9" t="inlineStr">
        <is>
          <t>09/2026</t>
        </is>
      </c>
      <c r="D45" s="7" t="inlineStr">
        <is>
          <t>Conta Nubank PF</t>
        </is>
      </c>
      <c r="E45" s="9" t="inlineStr">
        <is>
          <t>PF</t>
        </is>
      </c>
      <c r="F45" s="9" t="inlineStr">
        <is>
          <t>Despesa</t>
        </is>
      </c>
      <c r="G45" s="5" t="inlineStr">
        <is>
          <t>Educação (Benjamim)</t>
        </is>
      </c>
      <c r="H45" s="7" t="inlineStr">
        <is>
          <t>Escola</t>
        </is>
      </c>
      <c r="I45" s="5" t="inlineStr">
        <is>
          <t>Associação das Obras Sociais (Escola Benjamim)</t>
        </is>
      </c>
      <c r="J45" s="6" t="n">
        <v>1870</v>
      </c>
      <c r="K45" s="7" t="inlineStr">
        <is>
          <t>Conta Nubank PF</t>
        </is>
      </c>
      <c r="L45" s="5" t="inlineStr">
        <is>
          <t>Normal PF</t>
        </is>
      </c>
      <c r="M45" s="9" t="inlineStr">
        <is>
          <t>Liquidado</t>
        </is>
      </c>
      <c r="N45" s="17" t="inlineStr">
        <is>
          <t>Mensalidade escolar Benjamim</t>
        </is>
      </c>
    </row>
    <row r="46">
      <c r="A46" s="9" t="n">
        <v>45</v>
      </c>
      <c r="B46" s="9" t="inlineStr">
        <is>
          <t>2026-09-15</t>
        </is>
      </c>
      <c r="C46" s="9" t="inlineStr">
        <is>
          <t>09/2026</t>
        </is>
      </c>
      <c r="D46" s="7" t="inlineStr">
        <is>
          <t>Conta Nubank PF</t>
        </is>
      </c>
      <c r="E46" s="9" t="inlineStr">
        <is>
          <t>PF</t>
        </is>
      </c>
      <c r="F46" s="9" t="inlineStr">
        <is>
          <t>Despesa</t>
        </is>
      </c>
      <c r="G46" s="5" t="inlineStr">
        <is>
          <t>Educação (Benjamim)</t>
        </is>
      </c>
      <c r="H46" s="7" t="inlineStr">
        <is>
          <t>Cursos</t>
        </is>
      </c>
      <c r="I46" s="5" t="inlineStr">
        <is>
          <t>Spectrum Line Language Center (Inglês)</t>
        </is>
      </c>
      <c r="J46" s="6" t="n">
        <v>240</v>
      </c>
      <c r="K46" s="7" t="inlineStr">
        <is>
          <t>Conta Nubank PF</t>
        </is>
      </c>
      <c r="L46" s="5" t="inlineStr">
        <is>
          <t>Normal PF</t>
        </is>
      </c>
      <c r="M46" s="9" t="inlineStr">
        <is>
          <t>Liquidado</t>
        </is>
      </c>
      <c r="N46" s="17" t="inlineStr">
        <is>
          <t>Curso de inglês Benjamim</t>
        </is>
      </c>
    </row>
    <row r="47">
      <c r="A47" s="9" t="n">
        <v>46</v>
      </c>
      <c r="B47" s="9" t="inlineStr">
        <is>
          <t>2026-09-10</t>
        </is>
      </c>
      <c r="C47" s="9" t="inlineStr">
        <is>
          <t>09/2026</t>
        </is>
      </c>
      <c r="D47" s="7" t="inlineStr">
        <is>
          <t>Conta Nubank PF</t>
        </is>
      </c>
      <c r="E47" s="9" t="inlineStr">
        <is>
          <t>PF</t>
        </is>
      </c>
      <c r="F47" s="9" t="inlineStr">
        <is>
          <t>Despesa</t>
        </is>
      </c>
      <c r="G47" s="5" t="inlineStr">
        <is>
          <t>Saúde &amp; Bem-Estar</t>
        </is>
      </c>
      <c r="H47" s="7" t="inlineStr">
        <is>
          <t>Plano de Saúde</t>
        </is>
      </c>
      <c r="I47" s="5" t="inlineStr">
        <is>
          <t>Unimed Pouso Alegre (Boleto 1/3)</t>
        </is>
      </c>
      <c r="J47" s="6" t="n">
        <v>791.72</v>
      </c>
      <c r="K47" s="7" t="inlineStr">
        <is>
          <t>Conta Nubank PF</t>
        </is>
      </c>
      <c r="L47" s="5" t="inlineStr">
        <is>
          <t>Normal PF</t>
        </is>
      </c>
      <c r="M47" s="9" t="inlineStr">
        <is>
          <t>Liquidado</t>
        </is>
      </c>
      <c r="N47" s="17" t="inlineStr">
        <is>
          <t>Plano de saúde família</t>
        </is>
      </c>
    </row>
    <row r="48">
      <c r="A48" s="9" t="n">
        <v>47</v>
      </c>
      <c r="B48" s="9" t="inlineStr">
        <is>
          <t>2026-09-10</t>
        </is>
      </c>
      <c r="C48" s="9" t="inlineStr">
        <is>
          <t>09/2026</t>
        </is>
      </c>
      <c r="D48" s="7" t="inlineStr">
        <is>
          <t>Conta Nubank PF</t>
        </is>
      </c>
      <c r="E48" s="9" t="inlineStr">
        <is>
          <t>PF</t>
        </is>
      </c>
      <c r="F48" s="9" t="inlineStr">
        <is>
          <t>Despesa</t>
        </is>
      </c>
      <c r="G48" s="5" t="inlineStr">
        <is>
          <t>Saúde &amp; Bem-Estar</t>
        </is>
      </c>
      <c r="H48" s="7" t="inlineStr">
        <is>
          <t>Plano de Saúde</t>
        </is>
      </c>
      <c r="I48" s="5" t="inlineStr">
        <is>
          <t>Unimed Pouso Alegre (Boleto 2/3)</t>
        </is>
      </c>
      <c r="J48" s="6" t="n">
        <v>470.79</v>
      </c>
      <c r="K48" s="7" t="inlineStr">
        <is>
          <t>Conta Nubank PF</t>
        </is>
      </c>
      <c r="L48" s="5" t="inlineStr">
        <is>
          <t>Normal PF</t>
        </is>
      </c>
      <c r="M48" s="9" t="inlineStr">
        <is>
          <t>Liquidado</t>
        </is>
      </c>
      <c r="N48" s="17" t="inlineStr">
        <is>
          <t>Plano de saúde família</t>
        </is>
      </c>
    </row>
    <row r="49">
      <c r="A49" s="9" t="n">
        <v>48</v>
      </c>
      <c r="B49" s="9" t="inlineStr">
        <is>
          <t>2026-09-10</t>
        </is>
      </c>
      <c r="C49" s="9" t="inlineStr">
        <is>
          <t>09/2026</t>
        </is>
      </c>
      <c r="D49" s="7" t="inlineStr">
        <is>
          <t>Conta Nubank PF</t>
        </is>
      </c>
      <c r="E49" s="9" t="inlineStr">
        <is>
          <t>PF</t>
        </is>
      </c>
      <c r="F49" s="9" t="inlineStr">
        <is>
          <t>Despesa</t>
        </is>
      </c>
      <c r="G49" s="5" t="inlineStr">
        <is>
          <t>Saúde &amp; Bem-Estar</t>
        </is>
      </c>
      <c r="H49" s="7" t="inlineStr">
        <is>
          <t>Plano de Saúde</t>
        </is>
      </c>
      <c r="I49" s="5" t="inlineStr">
        <is>
          <t>Unimed Pouso Alegre (Boleto 3/3)</t>
        </is>
      </c>
      <c r="J49" s="6" t="n">
        <v>284.32</v>
      </c>
      <c r="K49" s="7" t="inlineStr">
        <is>
          <t>Conta Nubank PF</t>
        </is>
      </c>
      <c r="L49" s="5" t="inlineStr">
        <is>
          <t>Normal PF</t>
        </is>
      </c>
      <c r="M49" s="9" t="inlineStr">
        <is>
          <t>Liquidado</t>
        </is>
      </c>
      <c r="N49" s="17" t="inlineStr">
        <is>
          <t>Plano de saúde família</t>
        </is>
      </c>
    </row>
    <row r="50">
      <c r="A50" s="9" t="n">
        <v>49</v>
      </c>
      <c r="B50" s="9" t="inlineStr">
        <is>
          <t>2026-09-04</t>
        </is>
      </c>
      <c r="C50" s="9" t="inlineStr">
        <is>
          <t>09/2026</t>
        </is>
      </c>
      <c r="D50" s="7" t="inlineStr">
        <is>
          <t>Conta Nubank PF</t>
        </is>
      </c>
      <c r="E50" s="9" t="inlineStr">
        <is>
          <t>PF</t>
        </is>
      </c>
      <c r="F50" s="9" t="inlineStr">
        <is>
          <t>Despesa</t>
        </is>
      </c>
      <c r="G50" s="5" t="inlineStr">
        <is>
          <t>Saúde &amp; Bem-Estar</t>
        </is>
      </c>
      <c r="H50" s="7" t="inlineStr">
        <is>
          <t>Previdência Privada</t>
        </is>
      </c>
      <c r="I50" s="5" t="inlineStr">
        <is>
          <t>BB Previdência - Banco do Brasil</t>
        </is>
      </c>
      <c r="J50" s="6" t="n">
        <v>226</v>
      </c>
      <c r="K50" s="7" t="inlineStr">
        <is>
          <t>Conta Nubank PF</t>
        </is>
      </c>
      <c r="L50" s="5" t="inlineStr">
        <is>
          <t>Normal PF</t>
        </is>
      </c>
      <c r="M50" s="9" t="inlineStr">
        <is>
          <t>Liquidado</t>
        </is>
      </c>
      <c r="N50" s="17" t="inlineStr">
        <is>
          <t>Previdência complementar privada</t>
        </is>
      </c>
    </row>
    <row r="51">
      <c r="A51" s="9" t="n">
        <v>50</v>
      </c>
      <c r="B51" s="9" t="inlineStr">
        <is>
          <t>2026-09-04</t>
        </is>
      </c>
      <c r="C51" s="9" t="inlineStr">
        <is>
          <t>09/2026</t>
        </is>
      </c>
      <c r="D51" s="7" t="inlineStr">
        <is>
          <t>Conta Nubank PF</t>
        </is>
      </c>
      <c r="E51" s="9" t="inlineStr">
        <is>
          <t>PF</t>
        </is>
      </c>
      <c r="F51" s="9" t="inlineStr">
        <is>
          <t>Despesa</t>
        </is>
      </c>
      <c r="G51" s="5" t="inlineStr">
        <is>
          <t>Moradia</t>
        </is>
      </c>
      <c r="H51" s="7" t="inlineStr">
        <is>
          <t>Conectividade / Telefone</t>
        </is>
      </c>
      <c r="I51" s="5" t="inlineStr">
        <is>
          <t>TIM S/A (Plano Celular)</t>
        </is>
      </c>
      <c r="J51" s="6" t="n">
        <v>64.98999999999999</v>
      </c>
      <c r="K51" s="7" t="inlineStr">
        <is>
          <t>Conta Nubank PF</t>
        </is>
      </c>
      <c r="L51" s="5" t="inlineStr">
        <is>
          <t>Normal PF</t>
        </is>
      </c>
      <c r="M51" s="9" t="inlineStr">
        <is>
          <t>Liquidado</t>
        </is>
      </c>
      <c r="N51" s="17" t="inlineStr">
        <is>
          <t>Telefonia celular</t>
        </is>
      </c>
    </row>
    <row r="52">
      <c r="A52" s="9" t="n">
        <v>51</v>
      </c>
      <c r="B52" s="9" t="inlineStr">
        <is>
          <t>2026-09-14</t>
        </is>
      </c>
      <c r="C52" s="9" t="inlineStr">
        <is>
          <t>09/2026</t>
        </is>
      </c>
      <c r="D52" s="7" t="inlineStr">
        <is>
          <t>Conta Nubank PF</t>
        </is>
      </c>
      <c r="E52" s="9" t="inlineStr">
        <is>
          <t>PF</t>
        </is>
      </c>
      <c r="F52" s="9" t="inlineStr">
        <is>
          <t>Despesa</t>
        </is>
      </c>
      <c r="G52" s="5" t="inlineStr">
        <is>
          <t>Saúde &amp; Bem-Estar</t>
        </is>
      </c>
      <c r="H52" s="7" t="inlineStr">
        <is>
          <t>Atividades Físicas</t>
        </is>
      </c>
      <c r="I52" s="5" t="inlineStr">
        <is>
          <t>Escola Respect 4 Jiu-Jitsu</t>
        </is>
      </c>
      <c r="J52" s="6" t="n">
        <v>3</v>
      </c>
      <c r="K52" s="7" t="inlineStr">
        <is>
          <t>Conta Nubank PF</t>
        </is>
      </c>
      <c r="L52" s="5" t="inlineStr">
        <is>
          <t>Normal PF</t>
        </is>
      </c>
      <c r="M52" s="9" t="inlineStr">
        <is>
          <t>Liquidado</t>
        </is>
      </c>
      <c r="N52" s="17" t="inlineStr">
        <is>
          <t>Taxa atividade</t>
        </is>
      </c>
    </row>
    <row r="53">
      <c r="A53" s="9" t="n">
        <v>52</v>
      </c>
      <c r="B53" s="9" t="inlineStr">
        <is>
          <t>2026-09-14</t>
        </is>
      </c>
      <c r="C53" s="9" t="inlineStr">
        <is>
          <t>09/2026</t>
        </is>
      </c>
      <c r="D53" s="7" t="inlineStr">
        <is>
          <t>Conta Nubank PF</t>
        </is>
      </c>
      <c r="E53" s="9" t="inlineStr">
        <is>
          <t>PF</t>
        </is>
      </c>
      <c r="F53" s="9" t="inlineStr">
        <is>
          <t>Despesa</t>
        </is>
      </c>
      <c r="G53" s="5" t="inlineStr">
        <is>
          <t>Alimentação</t>
        </is>
      </c>
      <c r="H53" s="7" t="inlineStr">
        <is>
          <t>Feira / Padaria</t>
        </is>
      </c>
      <c r="I53" s="5" t="inlineStr">
        <is>
          <t>André Fernandes Poppinger</t>
        </is>
      </c>
      <c r="J53" s="6" t="n">
        <v>150</v>
      </c>
      <c r="K53" s="7" t="inlineStr">
        <is>
          <t>Conta Nubank PF</t>
        </is>
      </c>
      <c r="L53" s="5" t="inlineStr">
        <is>
          <t>Normal PF</t>
        </is>
      </c>
      <c r="M53" s="9" t="inlineStr">
        <is>
          <t>Liquidado</t>
        </is>
      </c>
      <c r="N53" s="17" t="inlineStr">
        <is>
          <t>Alimentação</t>
        </is>
      </c>
    </row>
    <row r="54">
      <c r="A54" s="9" t="n">
        <v>53</v>
      </c>
      <c r="B54" s="9" t="inlineStr">
        <is>
          <t>2026-09-12</t>
        </is>
      </c>
      <c r="C54" s="9" t="inlineStr">
        <is>
          <t>09/2026</t>
        </is>
      </c>
      <c r="D54" s="7" t="inlineStr">
        <is>
          <t>Conta Nubank PF</t>
        </is>
      </c>
      <c r="E54" s="9" t="inlineStr">
        <is>
          <t>PF</t>
        </is>
      </c>
      <c r="F54" s="9" t="inlineStr">
        <is>
          <t>Despesa</t>
        </is>
      </c>
      <c r="G54" s="5" t="inlineStr">
        <is>
          <t>Compras &amp; Lazer</t>
        </is>
      </c>
      <c r="H54" s="7" t="inlineStr">
        <is>
          <t>Vestuário / Casa</t>
        </is>
      </c>
      <c r="I54" s="5" t="inlineStr">
        <is>
          <t>Bianca Almeida de Moura</t>
        </is>
      </c>
      <c r="J54" s="6" t="n">
        <v>100</v>
      </c>
      <c r="K54" s="7" t="inlineStr">
        <is>
          <t>Conta Nubank PF</t>
        </is>
      </c>
      <c r="L54" s="5" t="inlineStr">
        <is>
          <t>Normal PF</t>
        </is>
      </c>
      <c r="M54" s="9" t="inlineStr">
        <is>
          <t>Liquidado</t>
        </is>
      </c>
      <c r="N54" s="17" t="inlineStr">
        <is>
          <t>Pessoal</t>
        </is>
      </c>
    </row>
    <row r="55">
      <c r="A55" s="9" t="n">
        <v>54</v>
      </c>
      <c r="B55" s="9" t="inlineStr">
        <is>
          <t>2026-09-14</t>
        </is>
      </c>
      <c r="C55" s="9" t="inlineStr">
        <is>
          <t>09/2026</t>
        </is>
      </c>
      <c r="D55" s="7" t="inlineStr">
        <is>
          <t>Conta Nubank PF</t>
        </is>
      </c>
      <c r="E55" s="9" t="inlineStr">
        <is>
          <t>PF</t>
        </is>
      </c>
      <c r="F55" s="9" t="inlineStr">
        <is>
          <t>Despesa</t>
        </is>
      </c>
      <c r="G55" s="5" t="inlineStr">
        <is>
          <t>Alimentação</t>
        </is>
      </c>
      <c r="H55" s="7" t="inlineStr">
        <is>
          <t>Feira / Padaria</t>
        </is>
      </c>
      <c r="I55" s="5" t="inlineStr">
        <is>
          <t>Cirilo Carlos Oliveira dos Santos</t>
        </is>
      </c>
      <c r="J55" s="6" t="n">
        <v>30</v>
      </c>
      <c r="K55" s="7" t="inlineStr">
        <is>
          <t>Conta Nubank PF</t>
        </is>
      </c>
      <c r="L55" s="5" t="inlineStr">
        <is>
          <t>Normal PF</t>
        </is>
      </c>
      <c r="M55" s="9" t="inlineStr">
        <is>
          <t>Liquidado</t>
        </is>
      </c>
      <c r="N55" s="17" t="inlineStr">
        <is>
          <t>Feira</t>
        </is>
      </c>
    </row>
    <row r="56">
      <c r="A56" s="9" t="n">
        <v>55</v>
      </c>
      <c r="B56" s="9" t="inlineStr">
        <is>
          <t>2026-09-13</t>
        </is>
      </c>
      <c r="C56" s="9" t="inlineStr">
        <is>
          <t>09/2026</t>
        </is>
      </c>
      <c r="D56" s="7" t="inlineStr">
        <is>
          <t>Conta Nubank PF</t>
        </is>
      </c>
      <c r="E56" s="9" t="inlineStr">
        <is>
          <t>PF</t>
        </is>
      </c>
      <c r="F56" s="9" t="inlineStr">
        <is>
          <t>Despesa</t>
        </is>
      </c>
      <c r="G56" s="5" t="inlineStr">
        <is>
          <t>Alimentação</t>
        </is>
      </c>
      <c r="H56" s="7" t="inlineStr">
        <is>
          <t>Feira / Padaria</t>
        </is>
      </c>
      <c r="I56" s="5" t="inlineStr">
        <is>
          <t>Julio Silvério da Silva</t>
        </is>
      </c>
      <c r="J56" s="6" t="n">
        <v>35</v>
      </c>
      <c r="K56" s="7" t="inlineStr">
        <is>
          <t>Conta Nubank PF</t>
        </is>
      </c>
      <c r="L56" s="5" t="inlineStr">
        <is>
          <t>Normal PF</t>
        </is>
      </c>
      <c r="M56" s="9" t="inlineStr">
        <is>
          <t>Liquidado</t>
        </is>
      </c>
      <c r="N56" s="17" t="inlineStr">
        <is>
          <t>Feira</t>
        </is>
      </c>
    </row>
    <row r="57">
      <c r="A57" s="9" t="n">
        <v>56</v>
      </c>
      <c r="B57" s="9" t="inlineStr">
        <is>
          <t>2026-09-13</t>
        </is>
      </c>
      <c r="C57" s="9" t="inlineStr">
        <is>
          <t>09/2026</t>
        </is>
      </c>
      <c r="D57" s="7" t="inlineStr">
        <is>
          <t>Conta Nubank PF</t>
        </is>
      </c>
      <c r="E57" s="9" t="inlineStr">
        <is>
          <t>PF</t>
        </is>
      </c>
      <c r="F57" s="9" t="inlineStr">
        <is>
          <t>Despesa</t>
        </is>
      </c>
      <c r="G57" s="5" t="inlineStr">
        <is>
          <t>Alimentação</t>
        </is>
      </c>
      <c r="H57" s="7" t="inlineStr">
        <is>
          <t>Feira / Padaria</t>
        </is>
      </c>
      <c r="I57" s="5" t="inlineStr">
        <is>
          <t>Julio Silvério da Silva</t>
        </is>
      </c>
      <c r="J57" s="6" t="n">
        <v>14.3</v>
      </c>
      <c r="K57" s="7" t="inlineStr">
        <is>
          <t>Conta Nubank PF</t>
        </is>
      </c>
      <c r="L57" s="5" t="inlineStr">
        <is>
          <t>Normal PF</t>
        </is>
      </c>
      <c r="M57" s="9" t="inlineStr">
        <is>
          <t>Liquidado</t>
        </is>
      </c>
      <c r="N57" s="17" t="inlineStr">
        <is>
          <t>Feira</t>
        </is>
      </c>
    </row>
    <row r="58">
      <c r="A58" s="9" t="n">
        <v>57</v>
      </c>
      <c r="B58" s="9" t="inlineStr">
        <is>
          <t>2026-09-13</t>
        </is>
      </c>
      <c r="C58" s="9" t="inlineStr">
        <is>
          <t>09/2026</t>
        </is>
      </c>
      <c r="D58" s="7" t="inlineStr">
        <is>
          <t>Conta Nubank PF</t>
        </is>
      </c>
      <c r="E58" s="9" t="inlineStr">
        <is>
          <t>PF</t>
        </is>
      </c>
      <c r="F58" s="9" t="inlineStr">
        <is>
          <t>Despesa</t>
        </is>
      </c>
      <c r="G58" s="5" t="inlineStr">
        <is>
          <t>Alimentação</t>
        </is>
      </c>
      <c r="H58" s="7" t="inlineStr">
        <is>
          <t>Feira / Padaria</t>
        </is>
      </c>
      <c r="I58" s="5" t="inlineStr">
        <is>
          <t>Otto Ude Neto</t>
        </is>
      </c>
      <c r="J58" s="6" t="n">
        <v>27</v>
      </c>
      <c r="K58" s="7" t="inlineStr">
        <is>
          <t>Conta Nubank PF</t>
        </is>
      </c>
      <c r="L58" s="5" t="inlineStr">
        <is>
          <t>Normal PF</t>
        </is>
      </c>
      <c r="M58" s="9" t="inlineStr">
        <is>
          <t>Liquidado</t>
        </is>
      </c>
      <c r="N58" s="17" t="inlineStr">
        <is>
          <t>Feira</t>
        </is>
      </c>
    </row>
    <row r="59">
      <c r="A59" s="9" t="n">
        <v>58</v>
      </c>
      <c r="B59" s="9" t="inlineStr">
        <is>
          <t>2026-09-13</t>
        </is>
      </c>
      <c r="C59" s="9" t="inlineStr">
        <is>
          <t>09/2026</t>
        </is>
      </c>
      <c r="D59" s="7" t="inlineStr">
        <is>
          <t>Conta Nubank PF</t>
        </is>
      </c>
      <c r="E59" s="9" t="inlineStr">
        <is>
          <t>PF</t>
        </is>
      </c>
      <c r="F59" s="9" t="inlineStr">
        <is>
          <t>Despesa</t>
        </is>
      </c>
      <c r="G59" s="5" t="inlineStr">
        <is>
          <t>Alimentação</t>
        </is>
      </c>
      <c r="H59" s="7" t="inlineStr">
        <is>
          <t>Feira / Padaria</t>
        </is>
      </c>
      <c r="I59" s="5" t="inlineStr">
        <is>
          <t>Arquidiocese de Pouso Alegre</t>
        </is>
      </c>
      <c r="J59" s="6" t="n">
        <v>20</v>
      </c>
      <c r="K59" s="7" t="inlineStr">
        <is>
          <t>Conta Nubank PF</t>
        </is>
      </c>
      <c r="L59" s="5" t="inlineStr">
        <is>
          <t>Normal PF</t>
        </is>
      </c>
      <c r="M59" s="9" t="inlineStr">
        <is>
          <t>Liquidado</t>
        </is>
      </c>
      <c r="N59" s="17" t="inlineStr">
        <is>
          <t>Doação / Bazar</t>
        </is>
      </c>
    </row>
    <row r="60">
      <c r="A60" s="9" t="n">
        <v>59</v>
      </c>
      <c r="B60" s="9" t="inlineStr">
        <is>
          <t>2026-09-13</t>
        </is>
      </c>
      <c r="C60" s="9" t="inlineStr">
        <is>
          <t>09/2026</t>
        </is>
      </c>
      <c r="D60" s="7" t="inlineStr">
        <is>
          <t>Conta Nubank PF</t>
        </is>
      </c>
      <c r="E60" s="9" t="inlineStr">
        <is>
          <t>PF</t>
        </is>
      </c>
      <c r="F60" s="9" t="inlineStr">
        <is>
          <t>Despesa</t>
        </is>
      </c>
      <c r="G60" s="5" t="inlineStr">
        <is>
          <t>Alimentação</t>
        </is>
      </c>
      <c r="H60" s="7" t="inlineStr">
        <is>
          <t>Feira / Padaria</t>
        </is>
      </c>
      <c r="I60" s="5" t="inlineStr">
        <is>
          <t>Josuel Alexandre Garcia</t>
        </is>
      </c>
      <c r="J60" s="6" t="n">
        <v>20</v>
      </c>
      <c r="K60" s="7" t="inlineStr">
        <is>
          <t>Conta Nubank PF</t>
        </is>
      </c>
      <c r="L60" s="5" t="inlineStr">
        <is>
          <t>Normal PF</t>
        </is>
      </c>
      <c r="M60" s="9" t="inlineStr">
        <is>
          <t>Liquidado</t>
        </is>
      </c>
      <c r="N60" s="17" t="inlineStr">
        <is>
          <t>Feira</t>
        </is>
      </c>
    </row>
    <row r="61">
      <c r="A61" s="9" t="n">
        <v>60</v>
      </c>
      <c r="B61" s="9" t="inlineStr">
        <is>
          <t>2026-09-13</t>
        </is>
      </c>
      <c r="C61" s="9" t="inlineStr">
        <is>
          <t>09/2026</t>
        </is>
      </c>
      <c r="D61" s="7" t="inlineStr">
        <is>
          <t>Conta Nubank PF</t>
        </is>
      </c>
      <c r="E61" s="9" t="inlineStr">
        <is>
          <t>PF</t>
        </is>
      </c>
      <c r="F61" s="9" t="inlineStr">
        <is>
          <t>Despesa</t>
        </is>
      </c>
      <c r="G61" s="5" t="inlineStr">
        <is>
          <t>Alimentação</t>
        </is>
      </c>
      <c r="H61" s="7" t="inlineStr">
        <is>
          <t>Feira / Padaria</t>
        </is>
      </c>
      <c r="I61" s="5" t="inlineStr">
        <is>
          <t>Jose Messias da Rosa</t>
        </is>
      </c>
      <c r="J61" s="6" t="n">
        <v>17</v>
      </c>
      <c r="K61" s="7" t="inlineStr">
        <is>
          <t>Conta Nubank PF</t>
        </is>
      </c>
      <c r="L61" s="5" t="inlineStr">
        <is>
          <t>Normal PF</t>
        </is>
      </c>
      <c r="M61" s="9" t="inlineStr">
        <is>
          <t>Liquidado</t>
        </is>
      </c>
      <c r="N61" s="17" t="inlineStr">
        <is>
          <t>Feira</t>
        </is>
      </c>
    </row>
    <row r="62">
      <c r="A62" s="9" t="n">
        <v>61</v>
      </c>
      <c r="B62" s="9" t="inlineStr">
        <is>
          <t>2026-09-13</t>
        </is>
      </c>
      <c r="C62" s="9" t="inlineStr">
        <is>
          <t>09/2026</t>
        </is>
      </c>
      <c r="D62" s="7" t="inlineStr">
        <is>
          <t>Conta Nubank PF</t>
        </is>
      </c>
      <c r="E62" s="9" t="inlineStr">
        <is>
          <t>PF</t>
        </is>
      </c>
      <c r="F62" s="9" t="inlineStr">
        <is>
          <t>Despesa</t>
        </is>
      </c>
      <c r="G62" s="5" t="inlineStr">
        <is>
          <t>Alimentação</t>
        </is>
      </c>
      <c r="H62" s="7" t="inlineStr">
        <is>
          <t>Feira / Padaria</t>
        </is>
      </c>
      <c r="I62" s="5" t="inlineStr">
        <is>
          <t>Joao Cezario Gomes</t>
        </is>
      </c>
      <c r="J62" s="6" t="n">
        <v>16.5</v>
      </c>
      <c r="K62" s="7" t="inlineStr">
        <is>
          <t>Conta Nubank PF</t>
        </is>
      </c>
      <c r="L62" s="5" t="inlineStr">
        <is>
          <t>Normal PF</t>
        </is>
      </c>
      <c r="M62" s="9" t="inlineStr">
        <is>
          <t>Liquidado</t>
        </is>
      </c>
      <c r="N62" s="17" t="inlineStr">
        <is>
          <t>Feira</t>
        </is>
      </c>
    </row>
    <row r="63">
      <c r="A63" s="9" t="n">
        <v>62</v>
      </c>
      <c r="B63" s="9" t="inlineStr">
        <is>
          <t>2026-09-13</t>
        </is>
      </c>
      <c r="C63" s="9" t="inlineStr">
        <is>
          <t>09/2026</t>
        </is>
      </c>
      <c r="D63" s="7" t="inlineStr">
        <is>
          <t>Conta Nubank PF</t>
        </is>
      </c>
      <c r="E63" s="9" t="inlineStr">
        <is>
          <t>PF</t>
        </is>
      </c>
      <c r="F63" s="9" t="inlineStr">
        <is>
          <t>Despesa</t>
        </is>
      </c>
      <c r="G63" s="5" t="inlineStr">
        <is>
          <t>Alimentação</t>
        </is>
      </c>
      <c r="H63" s="7" t="inlineStr">
        <is>
          <t>Feira / Padaria</t>
        </is>
      </c>
      <c r="I63" s="5" t="inlineStr">
        <is>
          <t>Samara de Cassia Pereira Silva</t>
        </is>
      </c>
      <c r="J63" s="6" t="n">
        <v>12</v>
      </c>
      <c r="K63" s="7" t="inlineStr">
        <is>
          <t>Conta Nubank PF</t>
        </is>
      </c>
      <c r="L63" s="5" t="inlineStr">
        <is>
          <t>Normal PF</t>
        </is>
      </c>
      <c r="M63" s="9" t="inlineStr">
        <is>
          <t>Liquidado</t>
        </is>
      </c>
      <c r="N63" s="17" t="inlineStr">
        <is>
          <t>Feira</t>
        </is>
      </c>
    </row>
    <row r="64">
      <c r="A64" s="9" t="n">
        <v>63</v>
      </c>
      <c r="B64" s="9" t="inlineStr">
        <is>
          <t>2026-09-13</t>
        </is>
      </c>
      <c r="C64" s="9" t="inlineStr">
        <is>
          <t>09/2026</t>
        </is>
      </c>
      <c r="D64" s="7" t="inlineStr">
        <is>
          <t>Conta Nubank PF</t>
        </is>
      </c>
      <c r="E64" s="9" t="inlineStr">
        <is>
          <t>PF</t>
        </is>
      </c>
      <c r="F64" s="9" t="inlineStr">
        <is>
          <t>Despesa</t>
        </is>
      </c>
      <c r="G64" s="5" t="inlineStr">
        <is>
          <t>Alimentação</t>
        </is>
      </c>
      <c r="H64" s="7" t="inlineStr">
        <is>
          <t>Feira / Padaria</t>
        </is>
      </c>
      <c r="I64" s="5" t="inlineStr">
        <is>
          <t>Joao Batista da Silva</t>
        </is>
      </c>
      <c r="J64" s="6" t="n">
        <v>10</v>
      </c>
      <c r="K64" s="7" t="inlineStr">
        <is>
          <t>Conta Nubank PF</t>
        </is>
      </c>
      <c r="L64" s="5" t="inlineStr">
        <is>
          <t>Normal PF</t>
        </is>
      </c>
      <c r="M64" s="9" t="inlineStr">
        <is>
          <t>Liquidado</t>
        </is>
      </c>
      <c r="N64" s="17" t="inlineStr">
        <is>
          <t>Feira</t>
        </is>
      </c>
    </row>
    <row r="65">
      <c r="A65" s="9" t="n">
        <v>64</v>
      </c>
      <c r="B65" s="9" t="inlineStr">
        <is>
          <t>2026-09-16</t>
        </is>
      </c>
      <c r="C65" s="9" t="inlineStr">
        <is>
          <t>09/2026</t>
        </is>
      </c>
      <c r="D65" s="7" t="inlineStr">
        <is>
          <t>Conta Nubank PF</t>
        </is>
      </c>
      <c r="E65" s="9" t="inlineStr">
        <is>
          <t>PF</t>
        </is>
      </c>
      <c r="F65" s="9" t="inlineStr">
        <is>
          <t>Despesa</t>
        </is>
      </c>
      <c r="G65" s="5" t="inlineStr">
        <is>
          <t>Alimentação</t>
        </is>
      </c>
      <c r="H65" s="7" t="inlineStr">
        <is>
          <t>Supermercados</t>
        </is>
      </c>
      <c r="I65" s="5" t="inlineStr">
        <is>
          <t>Mercadinho 24h</t>
        </is>
      </c>
      <c r="J65" s="6" t="n">
        <v>23.98</v>
      </c>
      <c r="K65" s="7" t="inlineStr">
        <is>
          <t>Conta Nubank PF</t>
        </is>
      </c>
      <c r="L65" s="5" t="inlineStr">
        <is>
          <t>Normal PF</t>
        </is>
      </c>
      <c r="M65" s="9" t="inlineStr">
        <is>
          <t>Liquidado</t>
        </is>
      </c>
      <c r="N65" s="17" t="inlineStr">
        <is>
          <t>Mercado</t>
        </is>
      </c>
    </row>
    <row r="66">
      <c r="A66" s="9" t="n">
        <v>65</v>
      </c>
      <c r="B66" s="9" t="inlineStr">
        <is>
          <t>2026-08-28</t>
        </is>
      </c>
      <c r="C66" s="9" t="inlineStr">
        <is>
          <t>09/2026</t>
        </is>
      </c>
      <c r="D66" s="7" t="inlineStr">
        <is>
          <t>Cartão Caixa PF</t>
        </is>
      </c>
      <c r="E66" s="9" t="inlineStr">
        <is>
          <t>PF</t>
        </is>
      </c>
      <c r="F66" s="9" t="inlineStr">
        <is>
          <t>Despesa</t>
        </is>
      </c>
      <c r="G66" s="5" t="inlineStr">
        <is>
          <t>Alimentação</t>
        </is>
      </c>
      <c r="H66" s="7" t="inlineStr">
        <is>
          <t>Hortifruti / Feira</t>
        </is>
      </c>
      <c r="I66" s="5" t="inlineStr">
        <is>
          <t>Supermercado Verds Fru (Feira de Santana)</t>
        </is>
      </c>
      <c r="J66" s="6" t="n">
        <v>88.2</v>
      </c>
      <c r="K66" s="7" t="inlineStr">
        <is>
          <t>Cartão Caixa PF</t>
        </is>
      </c>
      <c r="L66" s="5" t="inlineStr">
        <is>
          <t>Normal PF</t>
        </is>
      </c>
      <c r="M66" s="9" t="inlineStr">
        <is>
          <t>Liquidado</t>
        </is>
      </c>
      <c r="N66" s="17" t="inlineStr">
        <is>
          <t>Hortifruti</t>
        </is>
      </c>
    </row>
    <row r="67">
      <c r="A67" s="9" t="n">
        <v>66</v>
      </c>
      <c r="B67" s="9" t="inlineStr">
        <is>
          <t>2026-08-28</t>
        </is>
      </c>
      <c r="C67" s="9" t="inlineStr">
        <is>
          <t>09/2026</t>
        </is>
      </c>
      <c r="D67" s="7" t="inlineStr">
        <is>
          <t>Cartão Caixa PF</t>
        </is>
      </c>
      <c r="E67" s="9" t="inlineStr">
        <is>
          <t>PF</t>
        </is>
      </c>
      <c r="F67" s="9" t="inlineStr">
        <is>
          <t>Despesa</t>
        </is>
      </c>
      <c r="G67" s="5" t="inlineStr">
        <is>
          <t>Alimentação</t>
        </is>
      </c>
      <c r="H67" s="7" t="inlineStr">
        <is>
          <t>Diversos</t>
        </is>
      </c>
      <c r="I67" s="5" t="inlineStr">
        <is>
          <t>Ivanildo de Almeida C</t>
        </is>
      </c>
      <c r="J67" s="6" t="n">
        <v>36.5</v>
      </c>
      <c r="K67" s="7" t="inlineStr">
        <is>
          <t>Cartão Caixa PF</t>
        </is>
      </c>
      <c r="L67" s="5" t="inlineStr">
        <is>
          <t>Normal PF</t>
        </is>
      </c>
      <c r="M67" s="9" t="inlineStr">
        <is>
          <t>Liquidado</t>
        </is>
      </c>
      <c r="N67" s="17" t="inlineStr">
        <is>
          <t>Alimentação</t>
        </is>
      </c>
    </row>
    <row r="68">
      <c r="A68" s="9" t="n">
        <v>67</v>
      </c>
      <c r="B68" s="9" t="inlineStr">
        <is>
          <t>2026-08-28</t>
        </is>
      </c>
      <c r="C68" s="9" t="inlineStr">
        <is>
          <t>09/2026</t>
        </is>
      </c>
      <c r="D68" s="7" t="inlineStr">
        <is>
          <t>Cartão Caixa PF</t>
        </is>
      </c>
      <c r="E68" s="9" t="inlineStr">
        <is>
          <t>PF</t>
        </is>
      </c>
      <c r="F68" s="9" t="inlineStr">
        <is>
          <t>Despesa</t>
        </is>
      </c>
      <c r="G68" s="5" t="inlineStr">
        <is>
          <t>Saúde &amp; Bem-Estar</t>
        </is>
      </c>
      <c r="H68" s="7" t="inlineStr">
        <is>
          <t>Farmácia</t>
        </is>
      </c>
      <c r="I68" s="5" t="inlineStr">
        <is>
          <t>Pague Menos Farmácia</t>
        </is>
      </c>
      <c r="J68" s="6" t="n">
        <v>150.16</v>
      </c>
      <c r="K68" s="7" t="inlineStr">
        <is>
          <t>Cartão Caixa PF</t>
        </is>
      </c>
      <c r="L68" s="5" t="inlineStr">
        <is>
          <t>Normal PF</t>
        </is>
      </c>
      <c r="M68" s="9" t="inlineStr">
        <is>
          <t>Liquidado</t>
        </is>
      </c>
      <c r="N68" s="17" t="inlineStr">
        <is>
          <t>Medicamentos</t>
        </is>
      </c>
    </row>
    <row r="69">
      <c r="A69" s="9" t="n">
        <v>68</v>
      </c>
      <c r="B69" s="9" t="inlineStr">
        <is>
          <t>2026-09-03</t>
        </is>
      </c>
      <c r="C69" s="9" t="inlineStr">
        <is>
          <t>09/2026</t>
        </is>
      </c>
      <c r="D69" s="7" t="inlineStr">
        <is>
          <t>Cartão Caixa PF</t>
        </is>
      </c>
      <c r="E69" s="9" t="inlineStr">
        <is>
          <t>PF</t>
        </is>
      </c>
      <c r="F69" s="9" t="inlineStr">
        <is>
          <t>Despesa</t>
        </is>
      </c>
      <c r="G69" s="5" t="inlineStr">
        <is>
          <t>Alimentação</t>
        </is>
      </c>
      <c r="H69" s="7" t="inlineStr">
        <is>
          <t>Restaurantes &amp; Lanches</t>
        </is>
      </c>
      <c r="I69" s="5" t="inlineStr">
        <is>
          <t>DoceGelato (Camaçari)</t>
        </is>
      </c>
      <c r="J69" s="6" t="n">
        <v>15.46</v>
      </c>
      <c r="K69" s="7" t="inlineStr">
        <is>
          <t>Cartão Caixa PF</t>
        </is>
      </c>
      <c r="L69" s="5" t="inlineStr">
        <is>
          <t>Normal PF</t>
        </is>
      </c>
      <c r="M69" s="9" t="inlineStr">
        <is>
          <t>Liquidado</t>
        </is>
      </c>
      <c r="N69" s="17" t="inlineStr">
        <is>
          <t>Lanches</t>
        </is>
      </c>
    </row>
    <row r="70">
      <c r="A70" s="9" t="n">
        <v>69</v>
      </c>
      <c r="B70" s="9" t="inlineStr">
        <is>
          <t>2026-09-03</t>
        </is>
      </c>
      <c r="C70" s="9" t="inlineStr">
        <is>
          <t>09/2026</t>
        </is>
      </c>
      <c r="D70" s="7" t="inlineStr">
        <is>
          <t>Cartão Caixa PF</t>
        </is>
      </c>
      <c r="E70" s="9" t="inlineStr">
        <is>
          <t>PF</t>
        </is>
      </c>
      <c r="F70" s="9" t="inlineStr">
        <is>
          <t>Despesa</t>
        </is>
      </c>
      <c r="G70" s="5" t="inlineStr">
        <is>
          <t>Alimentação</t>
        </is>
      </c>
      <c r="H70" s="7" t="inlineStr">
        <is>
          <t>Restaurantes &amp; Lanches</t>
        </is>
      </c>
      <c r="I70" s="5" t="inlineStr">
        <is>
          <t>Sal e Brasa Express (Camaçari)</t>
        </is>
      </c>
      <c r="J70" s="6" t="n">
        <v>50</v>
      </c>
      <c r="K70" s="7" t="inlineStr">
        <is>
          <t>Cartão Caixa PF</t>
        </is>
      </c>
      <c r="L70" s="5" t="inlineStr">
        <is>
          <t>Normal PF</t>
        </is>
      </c>
      <c r="M70" s="9" t="inlineStr">
        <is>
          <t>Liquidado</t>
        </is>
      </c>
      <c r="N70" s="17" t="inlineStr">
        <is>
          <t>Almoço / Refeição</t>
        </is>
      </c>
    </row>
    <row r="71">
      <c r="A71" s="9" t="n">
        <v>70</v>
      </c>
      <c r="B71" s="9" t="inlineStr">
        <is>
          <t>2026-09-03</t>
        </is>
      </c>
      <c r="C71" s="9" t="inlineStr">
        <is>
          <t>09/2026</t>
        </is>
      </c>
      <c r="D71" s="7" t="inlineStr">
        <is>
          <t>Cartão Caixa PF</t>
        </is>
      </c>
      <c r="E71" s="9" t="inlineStr">
        <is>
          <t>PF</t>
        </is>
      </c>
      <c r="F71" s="9" t="inlineStr">
        <is>
          <t>Despesa</t>
        </is>
      </c>
      <c r="G71" s="5" t="inlineStr">
        <is>
          <t>Transporte &amp; Veículos</t>
        </is>
      </c>
      <c r="H71" s="7" t="inlineStr">
        <is>
          <t>Pedágio</t>
        </is>
      </c>
      <c r="I71" s="5" t="inlineStr">
        <is>
          <t>Concessionaria Bahia Norte</t>
        </is>
      </c>
      <c r="J71" s="6" t="n">
        <v>7.7</v>
      </c>
      <c r="K71" s="7" t="inlineStr">
        <is>
          <t>Cartão Caixa PF</t>
        </is>
      </c>
      <c r="L71" s="5" t="inlineStr">
        <is>
          <t>Normal PF</t>
        </is>
      </c>
      <c r="M71" s="9" t="inlineStr">
        <is>
          <t>Liquidado</t>
        </is>
      </c>
      <c r="N71" s="17" t="inlineStr">
        <is>
          <t>Pedágio</t>
        </is>
      </c>
    </row>
    <row r="72">
      <c r="A72" s="9" t="n">
        <v>71</v>
      </c>
      <c r="B72" s="9" t="inlineStr">
        <is>
          <t>2026-09-03</t>
        </is>
      </c>
      <c r="C72" s="9" t="inlineStr">
        <is>
          <t>09/2026</t>
        </is>
      </c>
      <c r="D72" s="7" t="inlineStr">
        <is>
          <t>Cartão Caixa PF</t>
        </is>
      </c>
      <c r="E72" s="9" t="inlineStr">
        <is>
          <t>PF</t>
        </is>
      </c>
      <c r="F72" s="9" t="inlineStr">
        <is>
          <t>Despesa</t>
        </is>
      </c>
      <c r="G72" s="5" t="inlineStr">
        <is>
          <t>Alimentação</t>
        </is>
      </c>
      <c r="H72" s="7" t="inlineStr">
        <is>
          <t>Restaurantes &amp; Lanches</t>
        </is>
      </c>
      <c r="I72" s="5" t="inlineStr">
        <is>
          <t>Sal e Brasa Express (Camaçari)</t>
        </is>
      </c>
      <c r="J72" s="6" t="n">
        <v>5</v>
      </c>
      <c r="K72" s="7" t="inlineStr">
        <is>
          <t>Cartão Caixa PF</t>
        </is>
      </c>
      <c r="L72" s="5" t="inlineStr">
        <is>
          <t>Normal PF</t>
        </is>
      </c>
      <c r="M72" s="9" t="inlineStr">
        <is>
          <t>Liquidado</t>
        </is>
      </c>
      <c r="N72" s="17" t="inlineStr">
        <is>
          <t>Lanches</t>
        </is>
      </c>
    </row>
    <row r="73">
      <c r="A73" s="9" t="n">
        <v>72</v>
      </c>
      <c r="B73" s="9" t="inlineStr">
        <is>
          <t>2026-09-05</t>
        </is>
      </c>
      <c r="C73" s="9" t="inlineStr">
        <is>
          <t>09/2026</t>
        </is>
      </c>
      <c r="D73" s="7" t="inlineStr">
        <is>
          <t>Cartão Caixa PF</t>
        </is>
      </c>
      <c r="E73" s="9" t="inlineStr">
        <is>
          <t>PF</t>
        </is>
      </c>
      <c r="F73" s="9" t="inlineStr">
        <is>
          <t>Despesa</t>
        </is>
      </c>
      <c r="G73" s="5" t="inlineStr">
        <is>
          <t>Alimentação</t>
        </is>
      </c>
      <c r="H73" s="7" t="inlineStr">
        <is>
          <t>Restaurantes &amp; Lanches</t>
        </is>
      </c>
      <c r="I73" s="5" t="inlineStr">
        <is>
          <t>Pizza Hut Aeroporto Guarulhos</t>
        </is>
      </c>
      <c r="J73" s="6" t="n">
        <v>45.09</v>
      </c>
      <c r="K73" s="7" t="inlineStr">
        <is>
          <t>Cartão Caixa PF</t>
        </is>
      </c>
      <c r="L73" s="5" t="inlineStr">
        <is>
          <t>Normal PF</t>
        </is>
      </c>
      <c r="M73" s="9" t="inlineStr">
        <is>
          <t>Liquidado</t>
        </is>
      </c>
      <c r="N73" s="17" t="inlineStr">
        <is>
          <t>Refeição viagem</t>
        </is>
      </c>
    </row>
    <row r="74">
      <c r="A74" s="9" t="n">
        <v>73</v>
      </c>
      <c r="B74" s="9" t="inlineStr">
        <is>
          <t>2026-09-05</t>
        </is>
      </c>
      <c r="C74" s="9" t="inlineStr">
        <is>
          <t>09/2026</t>
        </is>
      </c>
      <c r="D74" s="7" t="inlineStr">
        <is>
          <t>Cartão Caixa PF</t>
        </is>
      </c>
      <c r="E74" s="9" t="inlineStr">
        <is>
          <t>PF</t>
        </is>
      </c>
      <c r="F74" s="9" t="inlineStr">
        <is>
          <t>Despesa</t>
        </is>
      </c>
      <c r="G74" s="5" t="inlineStr">
        <is>
          <t>Investimento Patrimonial</t>
        </is>
      </c>
      <c r="H74" s="7" t="inlineStr">
        <is>
          <t>Apto Salvador (Na Planta)</t>
        </is>
      </c>
      <c r="I74" s="5" t="inlineStr">
        <is>
          <t>Subway Aeroporto Salvador</t>
        </is>
      </c>
      <c r="J74" s="6" t="n">
        <v>37</v>
      </c>
      <c r="K74" s="7" t="inlineStr">
        <is>
          <t>Cartão Caixa PF</t>
        </is>
      </c>
      <c r="L74" s="5" t="inlineStr">
        <is>
          <t>Normal PF</t>
        </is>
      </c>
      <c r="M74" s="9" t="inlineStr">
        <is>
          <t>Liquidado</t>
        </is>
      </c>
      <c r="N74" s="17" t="inlineStr">
        <is>
          <t>Aquisição de Imóvel na Planta (Patrimônio Líquido) - Pago via PJ</t>
        </is>
      </c>
    </row>
    <row r="75">
      <c r="A75" s="9" t="n">
        <v>74</v>
      </c>
      <c r="B75" s="9" t="inlineStr">
        <is>
          <t>2026-09-05</t>
        </is>
      </c>
      <c r="C75" s="9" t="inlineStr">
        <is>
          <t>09/2026</t>
        </is>
      </c>
      <c r="D75" s="7" t="inlineStr">
        <is>
          <t>Cartão Caixa PF</t>
        </is>
      </c>
      <c r="E75" s="9" t="inlineStr">
        <is>
          <t>PF</t>
        </is>
      </c>
      <c r="F75" s="9" t="inlineStr">
        <is>
          <t>Despesa</t>
        </is>
      </c>
      <c r="G75" s="5" t="inlineStr">
        <is>
          <t>Alimentação</t>
        </is>
      </c>
      <c r="H75" s="7" t="inlineStr">
        <is>
          <t>Restaurantes &amp; Lanches</t>
        </is>
      </c>
      <c r="I75" s="5" t="inlineStr">
        <is>
          <t>Cappta Vovo Dalva Comida</t>
        </is>
      </c>
      <c r="J75" s="6" t="n">
        <v>38</v>
      </c>
      <c r="K75" s="7" t="inlineStr">
        <is>
          <t>Cartão Caixa PF</t>
        </is>
      </c>
      <c r="L75" s="5" t="inlineStr">
        <is>
          <t>Normal PF</t>
        </is>
      </c>
      <c r="M75" s="9" t="inlineStr">
        <is>
          <t>Liquidado</t>
        </is>
      </c>
      <c r="N75" s="17" t="inlineStr">
        <is>
          <t>Refeição</t>
        </is>
      </c>
    </row>
    <row r="76">
      <c r="A76" s="9" t="n">
        <v>75</v>
      </c>
      <c r="B76" s="9" t="inlineStr">
        <is>
          <t>2026-09-05</t>
        </is>
      </c>
      <c r="C76" s="9" t="inlineStr">
        <is>
          <t>09/2026</t>
        </is>
      </c>
      <c r="D76" s="7" t="inlineStr">
        <is>
          <t>Cartão Caixa PF</t>
        </is>
      </c>
      <c r="E76" s="9" t="inlineStr">
        <is>
          <t>PF</t>
        </is>
      </c>
      <c r="F76" s="9" t="inlineStr">
        <is>
          <t>Despesa</t>
        </is>
      </c>
      <c r="G76" s="5" t="inlineStr">
        <is>
          <t>Alimentação</t>
        </is>
      </c>
      <c r="H76" s="7" t="inlineStr">
        <is>
          <t>Restaurantes &amp; Lanches</t>
        </is>
      </c>
      <c r="I76" s="5" t="inlineStr">
        <is>
          <t>Tabuleiro Sabor da Bahia</t>
        </is>
      </c>
      <c r="J76" s="6" t="n">
        <v>12</v>
      </c>
      <c r="K76" s="7" t="inlineStr">
        <is>
          <t>Cartão Caixa PF</t>
        </is>
      </c>
      <c r="L76" s="5" t="inlineStr">
        <is>
          <t>Normal PF</t>
        </is>
      </c>
      <c r="M76" s="9" t="inlineStr">
        <is>
          <t>Liquidado</t>
        </is>
      </c>
      <c r="N76" s="17" t="inlineStr">
        <is>
          <t>Refeição</t>
        </is>
      </c>
    </row>
    <row r="77">
      <c r="A77" s="9" t="n">
        <v>76</v>
      </c>
      <c r="B77" s="9" t="inlineStr">
        <is>
          <t>2026-09-05</t>
        </is>
      </c>
      <c r="C77" s="9" t="inlineStr">
        <is>
          <t>09/2026</t>
        </is>
      </c>
      <c r="D77" s="7" t="inlineStr">
        <is>
          <t>Cartão Caixa PF</t>
        </is>
      </c>
      <c r="E77" s="9" t="inlineStr">
        <is>
          <t>PF</t>
        </is>
      </c>
      <c r="F77" s="9" t="inlineStr">
        <is>
          <t>Despesa</t>
        </is>
      </c>
      <c r="G77" s="5" t="inlineStr">
        <is>
          <t>Investimento Patrimonial</t>
        </is>
      </c>
      <c r="H77" s="7" t="inlineStr">
        <is>
          <t>Apto Salvador (Na Planta)</t>
        </is>
      </c>
      <c r="I77" s="5" t="inlineStr">
        <is>
          <t>Qsq Aero Salvador</t>
        </is>
      </c>
      <c r="J77" s="6" t="n">
        <v>6</v>
      </c>
      <c r="K77" s="7" t="inlineStr">
        <is>
          <t>Cartão Caixa PF</t>
        </is>
      </c>
      <c r="L77" s="5" t="inlineStr">
        <is>
          <t>Normal PF</t>
        </is>
      </c>
      <c r="M77" s="9" t="inlineStr">
        <is>
          <t>Liquidado</t>
        </is>
      </c>
      <c r="N77" s="17" t="inlineStr">
        <is>
          <t>Aquisição de Imóvel na Planta (Patrimônio Líquido) - Pago via PJ</t>
        </is>
      </c>
    </row>
    <row r="78">
      <c r="A78" s="9" t="n">
        <v>77</v>
      </c>
      <c r="B78" s="9" t="inlineStr">
        <is>
          <t>2026-09-06</t>
        </is>
      </c>
      <c r="C78" s="9" t="inlineStr">
        <is>
          <t>09/2026</t>
        </is>
      </c>
      <c r="D78" s="7" t="inlineStr">
        <is>
          <t>Cartão Caixa PF</t>
        </is>
      </c>
      <c r="E78" s="9" t="inlineStr">
        <is>
          <t>PF</t>
        </is>
      </c>
      <c r="F78" s="9" t="inlineStr">
        <is>
          <t>Despesa</t>
        </is>
      </c>
      <c r="G78" s="5" t="inlineStr">
        <is>
          <t>Alimentação</t>
        </is>
      </c>
      <c r="H78" s="7" t="inlineStr">
        <is>
          <t>Restaurantes &amp; Lanches</t>
        </is>
      </c>
      <c r="I78" s="5" t="inlineStr">
        <is>
          <t>Rei do Mate T3 Mezanino GRU</t>
        </is>
      </c>
      <c r="J78" s="6" t="n">
        <v>36.9</v>
      </c>
      <c r="K78" s="7" t="inlineStr">
        <is>
          <t>Cartão Caixa PF</t>
        </is>
      </c>
      <c r="L78" s="5" t="inlineStr">
        <is>
          <t>Normal PF</t>
        </is>
      </c>
      <c r="M78" s="9" t="inlineStr">
        <is>
          <t>Liquidado</t>
        </is>
      </c>
      <c r="N78" s="17" t="inlineStr">
        <is>
          <t>Café viagem</t>
        </is>
      </c>
    </row>
    <row r="79">
      <c r="A79" s="9" t="n">
        <v>78</v>
      </c>
      <c r="B79" s="9" t="inlineStr">
        <is>
          <t>2026-09-06</t>
        </is>
      </c>
      <c r="C79" s="9" t="inlineStr">
        <is>
          <t>09/2026</t>
        </is>
      </c>
      <c r="D79" s="7" t="inlineStr">
        <is>
          <t>Cartão Caixa PF</t>
        </is>
      </c>
      <c r="E79" s="9" t="inlineStr">
        <is>
          <t>PF</t>
        </is>
      </c>
      <c r="F79" s="9" t="inlineStr">
        <is>
          <t>Despesa</t>
        </is>
      </c>
      <c r="G79" s="5" t="inlineStr">
        <is>
          <t>Alimentação</t>
        </is>
      </c>
      <c r="H79" s="7" t="inlineStr">
        <is>
          <t>Restaurantes &amp; Lanches</t>
        </is>
      </c>
      <c r="I79" s="5" t="inlineStr">
        <is>
          <t>GRSA Baguettes São Paulo</t>
        </is>
      </c>
      <c r="J79" s="6" t="n">
        <v>48.5</v>
      </c>
      <c r="K79" s="7" t="inlineStr">
        <is>
          <t>Cartão Caixa PF</t>
        </is>
      </c>
      <c r="L79" s="5" t="inlineStr">
        <is>
          <t>Normal PF</t>
        </is>
      </c>
      <c r="M79" s="9" t="inlineStr">
        <is>
          <t>Liquidado</t>
        </is>
      </c>
      <c r="N79" s="17" t="inlineStr">
        <is>
          <t>Refeição viagem</t>
        </is>
      </c>
    </row>
    <row r="80">
      <c r="A80" s="9" t="n">
        <v>79</v>
      </c>
      <c r="B80" s="9" t="inlineStr">
        <is>
          <t>2026-09-06</t>
        </is>
      </c>
      <c r="C80" s="9" t="inlineStr">
        <is>
          <t>09/2026</t>
        </is>
      </c>
      <c r="D80" s="7" t="inlineStr">
        <is>
          <t>Cartão Caixa PF</t>
        </is>
      </c>
      <c r="E80" s="9" t="inlineStr">
        <is>
          <t>PF</t>
        </is>
      </c>
      <c r="F80" s="9" t="inlineStr">
        <is>
          <t>Despesa</t>
        </is>
      </c>
      <c r="G80" s="5" t="inlineStr">
        <is>
          <t>Transporte &amp; Veículos</t>
        </is>
      </c>
      <c r="H80" s="7" t="inlineStr">
        <is>
          <t>Passagens Terrestres</t>
        </is>
      </c>
      <c r="I80" s="5" t="inlineStr">
        <is>
          <t>A V Braganca TTE (Ônibus SP/Pouso Alegre)</t>
        </is>
      </c>
      <c r="J80" s="6" t="n">
        <v>94.90000000000001</v>
      </c>
      <c r="K80" s="7" t="inlineStr">
        <is>
          <t>Cartão Caixa PF</t>
        </is>
      </c>
      <c r="L80" s="5" t="inlineStr">
        <is>
          <t>Normal PF</t>
        </is>
      </c>
      <c r="M80" s="9" t="inlineStr">
        <is>
          <t>Liquidado</t>
        </is>
      </c>
      <c r="N80" s="17" t="inlineStr">
        <is>
          <t>Passagem interestadual</t>
        </is>
      </c>
    </row>
    <row r="81">
      <c r="A81" s="9" t="n">
        <v>80</v>
      </c>
      <c r="B81" s="9" t="inlineStr">
        <is>
          <t>2026-09-07</t>
        </is>
      </c>
      <c r="C81" s="9" t="inlineStr">
        <is>
          <t>09/2026</t>
        </is>
      </c>
      <c r="D81" s="7" t="inlineStr">
        <is>
          <t>Cartão Caixa PF</t>
        </is>
      </c>
      <c r="E81" s="9" t="inlineStr">
        <is>
          <t>PF</t>
        </is>
      </c>
      <c r="F81" s="9" t="inlineStr">
        <is>
          <t>Despesa</t>
        </is>
      </c>
      <c r="G81" s="5" t="inlineStr">
        <is>
          <t>Compras &amp; Lazer</t>
        </is>
      </c>
      <c r="H81" s="7" t="inlineStr">
        <is>
          <t>Pets / Agropecuária</t>
        </is>
      </c>
      <c r="I81" s="5" t="inlineStr">
        <is>
          <t>Agropecuaria Santa Edwiges</t>
        </is>
      </c>
      <c r="J81" s="6" t="n">
        <v>204</v>
      </c>
      <c r="K81" s="7" t="inlineStr">
        <is>
          <t>Cartão Caixa PF</t>
        </is>
      </c>
      <c r="L81" s="5" t="inlineStr">
        <is>
          <t>Normal PF</t>
        </is>
      </c>
      <c r="M81" s="9" t="inlineStr">
        <is>
          <t>Liquidado</t>
        </is>
      </c>
      <c r="N81" s="17" t="inlineStr">
        <is>
          <t>Ração / Animais</t>
        </is>
      </c>
    </row>
    <row r="82">
      <c r="A82" s="9" t="n">
        <v>81</v>
      </c>
      <c r="B82" s="9" t="inlineStr">
        <is>
          <t>2026-09-12</t>
        </is>
      </c>
      <c r="C82" s="9" t="inlineStr">
        <is>
          <t>09/2026</t>
        </is>
      </c>
      <c r="D82" s="7" t="inlineStr">
        <is>
          <t>Cartão Caixa PF</t>
        </is>
      </c>
      <c r="E82" s="9" t="inlineStr">
        <is>
          <t>PF</t>
        </is>
      </c>
      <c r="F82" s="9" t="inlineStr">
        <is>
          <t>Despesa</t>
        </is>
      </c>
      <c r="G82" s="5" t="inlineStr">
        <is>
          <t>Alimentação</t>
        </is>
      </c>
      <c r="H82" s="7" t="inlineStr">
        <is>
          <t>Supermercados</t>
        </is>
      </c>
      <c r="I82" s="5" t="inlineStr">
        <is>
          <t>Supermercado Buritis</t>
        </is>
      </c>
      <c r="J82" s="6" t="n">
        <v>16.99</v>
      </c>
      <c r="K82" s="7" t="inlineStr">
        <is>
          <t>Cartão Caixa PF</t>
        </is>
      </c>
      <c r="L82" s="5" t="inlineStr">
        <is>
          <t>Normal PF</t>
        </is>
      </c>
      <c r="M82" s="9" t="inlineStr">
        <is>
          <t>Liquidado</t>
        </is>
      </c>
      <c r="N82" s="17" t="inlineStr">
        <is>
          <t>Mercado</t>
        </is>
      </c>
    </row>
    <row r="83">
      <c r="A83" s="9" t="n">
        <v>82</v>
      </c>
      <c r="B83" s="9" t="inlineStr">
        <is>
          <t>2026-09-12</t>
        </is>
      </c>
      <c r="C83" s="9" t="inlineStr">
        <is>
          <t>09/2026</t>
        </is>
      </c>
      <c r="D83" s="7" t="inlineStr">
        <is>
          <t>Cartão Caixa PF</t>
        </is>
      </c>
      <c r="E83" s="9" t="inlineStr">
        <is>
          <t>PF</t>
        </is>
      </c>
      <c r="F83" s="9" t="inlineStr">
        <is>
          <t>Despesa</t>
        </is>
      </c>
      <c r="G83" s="5" t="inlineStr">
        <is>
          <t>Alimentação</t>
        </is>
      </c>
      <c r="H83" s="7" t="inlineStr">
        <is>
          <t>Supermercados</t>
        </is>
      </c>
      <c r="I83" s="5" t="inlineStr">
        <is>
          <t>Minimercado Sao Vicente</t>
        </is>
      </c>
      <c r="J83" s="6" t="n">
        <v>37.45</v>
      </c>
      <c r="K83" s="7" t="inlineStr">
        <is>
          <t>Cartão Caixa PF</t>
        </is>
      </c>
      <c r="L83" s="5" t="inlineStr">
        <is>
          <t>Normal PF</t>
        </is>
      </c>
      <c r="M83" s="9" t="inlineStr">
        <is>
          <t>Liquidado</t>
        </is>
      </c>
      <c r="N83" s="17" t="inlineStr">
        <is>
          <t>Mercado</t>
        </is>
      </c>
    </row>
    <row r="84">
      <c r="A84" s="9" t="n">
        <v>83</v>
      </c>
      <c r="B84" s="9" t="inlineStr">
        <is>
          <t>2026-09-12</t>
        </is>
      </c>
      <c r="C84" s="9" t="inlineStr">
        <is>
          <t>09/2026</t>
        </is>
      </c>
      <c r="D84" s="7" t="inlineStr">
        <is>
          <t>Cartão Caixa PF</t>
        </is>
      </c>
      <c r="E84" s="9" t="inlineStr">
        <is>
          <t>PF</t>
        </is>
      </c>
      <c r="F84" s="9" t="inlineStr">
        <is>
          <t>Despesa</t>
        </is>
      </c>
      <c r="G84" s="5" t="inlineStr">
        <is>
          <t>Alimentação</t>
        </is>
      </c>
      <c r="H84" s="7" t="inlineStr">
        <is>
          <t>Supermercados</t>
        </is>
      </c>
      <c r="I84" s="5" t="inlineStr">
        <is>
          <t>Supermercado Buritis</t>
        </is>
      </c>
      <c r="J84" s="6" t="n">
        <v>102</v>
      </c>
      <c r="K84" s="7" t="inlineStr">
        <is>
          <t>Cartão Caixa PF</t>
        </is>
      </c>
      <c r="L84" s="5" t="inlineStr">
        <is>
          <t>Normal PF</t>
        </is>
      </c>
      <c r="M84" s="9" t="inlineStr">
        <is>
          <t>Liquidado</t>
        </is>
      </c>
      <c r="N84" s="17" t="inlineStr">
        <is>
          <t>Mercado</t>
        </is>
      </c>
    </row>
    <row r="85">
      <c r="A85" s="9" t="n">
        <v>84</v>
      </c>
      <c r="B85" s="9" t="inlineStr">
        <is>
          <t>2026-09-25</t>
        </is>
      </c>
      <c r="C85" s="9" t="inlineStr">
        <is>
          <t>09/2026</t>
        </is>
      </c>
      <c r="D85" s="7" t="inlineStr">
        <is>
          <t>Cartão Caixa PF</t>
        </is>
      </c>
      <c r="E85" s="9" t="inlineStr">
        <is>
          <t>PF</t>
        </is>
      </c>
      <c r="F85" s="9" t="inlineStr">
        <is>
          <t>Despesa</t>
        </is>
      </c>
      <c r="G85" s="5" t="inlineStr">
        <is>
          <t>Compras &amp; Lazer</t>
        </is>
      </c>
      <c r="H85" s="7" t="inlineStr">
        <is>
          <t>Tarifas Cartão</t>
        </is>
      </c>
      <c r="I85" s="5" t="inlineStr">
        <is>
          <t>Anuidade Nacional Titular (02/12)</t>
        </is>
      </c>
      <c r="J85" s="6" t="n">
        <v>5.25</v>
      </c>
      <c r="K85" s="7" t="inlineStr">
        <is>
          <t>Cartão Caixa PF</t>
        </is>
      </c>
      <c r="L85" s="5" t="inlineStr">
        <is>
          <t>Normal PF</t>
        </is>
      </c>
      <c r="M85" s="9" t="inlineStr">
        <is>
          <t>Liquidado</t>
        </is>
      </c>
      <c r="N85" s="17" t="inlineStr">
        <is>
          <t>Anuidade cartão</t>
        </is>
      </c>
    </row>
    <row r="86">
      <c r="A86" s="9" t="n">
        <v>85</v>
      </c>
      <c r="B86" s="9" t="inlineStr">
        <is>
          <t>2026-08-31</t>
        </is>
      </c>
      <c r="C86" s="9" t="inlineStr">
        <is>
          <t>09/2026</t>
        </is>
      </c>
      <c r="D86" s="7" t="inlineStr">
        <is>
          <t>Cartão Nubank PF</t>
        </is>
      </c>
      <c r="E86" s="9" t="inlineStr">
        <is>
          <t>PF</t>
        </is>
      </c>
      <c r="F86" s="9" t="inlineStr">
        <is>
          <t>Despesa</t>
        </is>
      </c>
      <c r="G86" s="5" t="inlineStr">
        <is>
          <t>Compras &amp; Lazer</t>
        </is>
      </c>
      <c r="H86" s="7" t="inlineStr">
        <is>
          <t>Parcelamentos Antigos</t>
        </is>
      </c>
      <c r="I86" s="5" t="inlineStr">
        <is>
          <t>Grupo Casas Bahia - Parcela 10/10</t>
        </is>
      </c>
      <c r="J86" s="6" t="n">
        <v>678.77</v>
      </c>
      <c r="K86" s="7" t="inlineStr">
        <is>
          <t>Cartão Nubank PF</t>
        </is>
      </c>
      <c r="L86" s="5" t="inlineStr">
        <is>
          <t>Normal PF</t>
        </is>
      </c>
      <c r="M86" s="9" t="inlineStr">
        <is>
          <t>Liquidado</t>
        </is>
      </c>
      <c r="N86" s="17" t="inlineStr">
        <is>
          <t>ÚLTIMA PARCELA 10/10 - ENCERRADA! Alívio em Outubro</t>
        </is>
      </c>
    </row>
    <row r="87">
      <c r="A87" s="9" t="n">
        <v>86</v>
      </c>
      <c r="B87" s="9" t="inlineStr">
        <is>
          <t>2026-08-31</t>
        </is>
      </c>
      <c r="C87" s="9" t="inlineStr">
        <is>
          <t>09/2026</t>
        </is>
      </c>
      <c r="D87" s="7" t="inlineStr">
        <is>
          <t>Cartão Nubank PF</t>
        </is>
      </c>
      <c r="E87" s="9" t="inlineStr">
        <is>
          <t>PF</t>
        </is>
      </c>
      <c r="F87" s="9" t="inlineStr">
        <is>
          <t>Despesa</t>
        </is>
      </c>
      <c r="G87" s="5" t="inlineStr">
        <is>
          <t>Compras &amp; Lazer</t>
        </is>
      </c>
      <c r="H87" s="7" t="inlineStr">
        <is>
          <t>Parcelamentos Antigos</t>
        </is>
      </c>
      <c r="I87" s="5" t="inlineStr">
        <is>
          <t>Vai de Promo - Parcela 3/3</t>
        </is>
      </c>
      <c r="J87" s="6" t="n">
        <v>633.97</v>
      </c>
      <c r="K87" s="7" t="inlineStr">
        <is>
          <t>Cartão Nubank PF</t>
        </is>
      </c>
      <c r="L87" s="5" t="inlineStr">
        <is>
          <t>Normal PF</t>
        </is>
      </c>
      <c r="M87" s="9" t="inlineStr">
        <is>
          <t>Liquidado</t>
        </is>
      </c>
      <c r="N87" s="17" t="inlineStr">
        <is>
          <t>ÚLTIMA PARCELA 3/3 - ENCERRADA! Alívio em Outubro</t>
        </is>
      </c>
    </row>
    <row r="88">
      <c r="A88" s="9" t="n">
        <v>87</v>
      </c>
      <c r="B88" s="9" t="inlineStr">
        <is>
          <t>2026-08-31</t>
        </is>
      </c>
      <c r="C88" s="9" t="inlineStr">
        <is>
          <t>09/2026</t>
        </is>
      </c>
      <c r="D88" s="7" t="inlineStr">
        <is>
          <t>Cartão Nubank PF</t>
        </is>
      </c>
      <c r="E88" s="9" t="inlineStr">
        <is>
          <t>PF</t>
        </is>
      </c>
      <c r="F88" s="9" t="inlineStr">
        <is>
          <t>Despesa</t>
        </is>
      </c>
      <c r="G88" s="5" t="inlineStr">
        <is>
          <t>Educação (Benjamim)</t>
        </is>
      </c>
      <c r="H88" s="7" t="inlineStr">
        <is>
          <t>Vestuário Infantil</t>
        </is>
      </c>
      <c r="I88" s="5" t="inlineStr">
        <is>
          <t>Sigga Moda Infantil - Parcela 4/4</t>
        </is>
      </c>
      <c r="J88" s="6" t="n">
        <v>113.15</v>
      </c>
      <c r="K88" s="7" t="inlineStr">
        <is>
          <t>Cartão Nubank PF</t>
        </is>
      </c>
      <c r="L88" s="5" t="inlineStr">
        <is>
          <t>Normal PF</t>
        </is>
      </c>
      <c r="M88" s="9" t="inlineStr">
        <is>
          <t>Liquidado</t>
        </is>
      </c>
      <c r="N88" s="17" t="inlineStr">
        <is>
          <t>ÚLTIMA PARCELA 4/4 - ENCERRADA! Alívio em Outubro</t>
        </is>
      </c>
    </row>
    <row r="89">
      <c r="A89" s="9" t="n">
        <v>88</v>
      </c>
      <c r="B89" s="9" t="inlineStr">
        <is>
          <t>2026-08-31</t>
        </is>
      </c>
      <c r="C89" s="9" t="inlineStr">
        <is>
          <t>09/2026</t>
        </is>
      </c>
      <c r="D89" s="7" t="inlineStr">
        <is>
          <t>Cartão Nubank PF</t>
        </is>
      </c>
      <c r="E89" s="9" t="inlineStr">
        <is>
          <t>PF</t>
        </is>
      </c>
      <c r="F89" s="9" t="inlineStr">
        <is>
          <t>Despesa</t>
        </is>
      </c>
      <c r="G89" s="5" t="inlineStr">
        <is>
          <t>Transporte &amp; Veículos</t>
        </is>
      </c>
      <c r="H89" s="7" t="inlineStr">
        <is>
          <t>Passagens Aéreas</t>
        </is>
      </c>
      <c r="I89" s="5" t="inlineStr">
        <is>
          <t>Latam Linhas Aéreas - Parcela 3/4</t>
        </is>
      </c>
      <c r="J89" s="6" t="n">
        <v>426.53</v>
      </c>
      <c r="K89" s="7" t="inlineStr">
        <is>
          <t>Cartão Nubank PF</t>
        </is>
      </c>
      <c r="L89" s="5" t="inlineStr">
        <is>
          <t>Normal PF</t>
        </is>
      </c>
      <c r="M89" s="9" t="inlineStr">
        <is>
          <t>Liquidado</t>
        </is>
      </c>
      <c r="N89" s="17" t="inlineStr">
        <is>
          <t>Parcela 3 de 4 (Última parcela em Outubro)</t>
        </is>
      </c>
    </row>
    <row r="90">
      <c r="A90" s="9" t="n">
        <v>89</v>
      </c>
      <c r="B90" s="9" t="inlineStr">
        <is>
          <t>2026-08-31</t>
        </is>
      </c>
      <c r="C90" s="9" t="inlineStr">
        <is>
          <t>09/2026</t>
        </is>
      </c>
      <c r="D90" s="7" t="inlineStr">
        <is>
          <t>Cartão Nubank PF</t>
        </is>
      </c>
      <c r="E90" s="9" t="inlineStr">
        <is>
          <t>PF</t>
        </is>
      </c>
      <c r="F90" s="9" t="inlineStr">
        <is>
          <t>Despesa</t>
        </is>
      </c>
      <c r="G90" s="5" t="inlineStr">
        <is>
          <t>Compras &amp; Lazer</t>
        </is>
      </c>
      <c r="H90" s="7" t="inlineStr">
        <is>
          <t>Parcelamentos Antigos</t>
        </is>
      </c>
      <c r="I90" s="5" t="inlineStr">
        <is>
          <t>Pg *Pza Comercio - Parcela 3/6</t>
        </is>
      </c>
      <c r="J90" s="6" t="n">
        <v>111.63</v>
      </c>
      <c r="K90" s="7" t="inlineStr">
        <is>
          <t>Cartão Nubank PF</t>
        </is>
      </c>
      <c r="L90" s="5" t="inlineStr">
        <is>
          <t>Normal PF</t>
        </is>
      </c>
      <c r="M90" s="9" t="inlineStr">
        <is>
          <t>Liquidado</t>
        </is>
      </c>
      <c r="N90" s="17" t="inlineStr">
        <is>
          <t>Parcela 3 de 6</t>
        </is>
      </c>
    </row>
    <row r="91">
      <c r="A91" s="9" t="n">
        <v>90</v>
      </c>
      <c r="B91" s="9" t="inlineStr">
        <is>
          <t>2026-08-31</t>
        </is>
      </c>
      <c r="C91" s="9" t="inlineStr">
        <is>
          <t>09/2026</t>
        </is>
      </c>
      <c r="D91" s="7" t="inlineStr">
        <is>
          <t>Cartão Nubank PF</t>
        </is>
      </c>
      <c r="E91" s="9" t="inlineStr">
        <is>
          <t>PF</t>
        </is>
      </c>
      <c r="F91" s="9" t="inlineStr">
        <is>
          <t>Despesa</t>
        </is>
      </c>
      <c r="G91" s="5" t="inlineStr">
        <is>
          <t>Saúde &amp; Bem-Estar</t>
        </is>
      </c>
      <c r="H91" s="7" t="inlineStr">
        <is>
          <t>Atividades Físicas</t>
        </is>
      </c>
      <c r="I91" s="5" t="inlineStr">
        <is>
          <t>Respect 4 Jiu-Jitsu - Parcela 2/3</t>
        </is>
      </c>
      <c r="J91" s="6" t="n">
        <v>165</v>
      </c>
      <c r="K91" s="7" t="inlineStr">
        <is>
          <t>Cartão Nubank PF</t>
        </is>
      </c>
      <c r="L91" s="5" t="inlineStr">
        <is>
          <t>Normal PF</t>
        </is>
      </c>
      <c r="M91" s="9" t="inlineStr">
        <is>
          <t>Liquidado</t>
        </is>
      </c>
      <c r="N91" s="17" t="inlineStr">
        <is>
          <t>Parcela 2 de 3 (Encerra em Outubro)</t>
        </is>
      </c>
    </row>
    <row r="92">
      <c r="A92" s="9" t="n">
        <v>91</v>
      </c>
      <c r="B92" s="9" t="inlineStr">
        <is>
          <t>2026-08-31</t>
        </is>
      </c>
      <c r="C92" s="9" t="inlineStr">
        <is>
          <t>09/2026</t>
        </is>
      </c>
      <c r="D92" s="7" t="inlineStr">
        <is>
          <t>Cartão Nubank PF</t>
        </is>
      </c>
      <c r="E92" s="9" t="inlineStr">
        <is>
          <t>PF</t>
        </is>
      </c>
      <c r="F92" s="9" t="inlineStr">
        <is>
          <t>Despesa</t>
        </is>
      </c>
      <c r="G92" s="5" t="inlineStr">
        <is>
          <t>Compras &amp; Lazer</t>
        </is>
      </c>
      <c r="H92" s="7" t="inlineStr">
        <is>
          <t>Streaming / Assinaturas</t>
        </is>
      </c>
      <c r="I92" s="5" t="inlineStr">
        <is>
          <t>Amazon Prime Canais</t>
        </is>
      </c>
      <c r="J92" s="6" t="n">
        <v>19.99</v>
      </c>
      <c r="K92" s="7" t="inlineStr">
        <is>
          <t>Cartão Nubank PF</t>
        </is>
      </c>
      <c r="L92" s="5" t="inlineStr">
        <is>
          <t>Normal PF</t>
        </is>
      </c>
      <c r="M92" s="9" t="inlineStr">
        <is>
          <t>Liquidado</t>
        </is>
      </c>
      <c r="N92" s="17" t="inlineStr">
        <is>
          <t>Assinatura streaming</t>
        </is>
      </c>
    </row>
    <row r="93">
      <c r="A93" s="9" t="n">
        <v>92</v>
      </c>
      <c r="B93" s="9" t="inlineStr">
        <is>
          <t>2026-08-31</t>
        </is>
      </c>
      <c r="C93" s="9" t="inlineStr">
        <is>
          <t>09/2026</t>
        </is>
      </c>
      <c r="D93" s="7" t="inlineStr">
        <is>
          <t>Cartão Nubank PF</t>
        </is>
      </c>
      <c r="E93" s="9" t="inlineStr">
        <is>
          <t>PF</t>
        </is>
      </c>
      <c r="F93" s="9" t="inlineStr">
        <is>
          <t>Despesa</t>
        </is>
      </c>
      <c r="G93" s="5" t="inlineStr">
        <is>
          <t>Transporte &amp; Veículos</t>
        </is>
      </c>
      <c r="H93" s="7" t="inlineStr">
        <is>
          <t>Mobilidade Urbana</t>
        </is>
      </c>
      <c r="I93" s="5" t="inlineStr">
        <is>
          <t>Uber - NuPay</t>
        </is>
      </c>
      <c r="J93" s="6" t="n">
        <v>14.89</v>
      </c>
      <c r="K93" s="7" t="inlineStr">
        <is>
          <t>Cartão Nubank PF</t>
        </is>
      </c>
      <c r="L93" s="5" t="inlineStr">
        <is>
          <t>Normal PF</t>
        </is>
      </c>
      <c r="M93" s="9" t="inlineStr">
        <is>
          <t>Liquidado</t>
        </is>
      </c>
      <c r="N93" s="17" t="inlineStr">
        <is>
          <t>Corrida Uber</t>
        </is>
      </c>
    </row>
    <row r="94">
      <c r="A94" s="9" t="n">
        <v>93</v>
      </c>
      <c r="B94" s="9" t="inlineStr">
        <is>
          <t>2026-08-31</t>
        </is>
      </c>
      <c r="C94" s="9" t="inlineStr">
        <is>
          <t>09/2026</t>
        </is>
      </c>
      <c r="D94" s="7" t="inlineStr">
        <is>
          <t>Cartão Nubank PF</t>
        </is>
      </c>
      <c r="E94" s="9" t="inlineStr">
        <is>
          <t>PF</t>
        </is>
      </c>
      <c r="F94" s="9" t="inlineStr">
        <is>
          <t>Despesa</t>
        </is>
      </c>
      <c r="G94" s="5" t="inlineStr">
        <is>
          <t>Transporte &amp; Veículos</t>
        </is>
      </c>
      <c r="H94" s="7" t="inlineStr">
        <is>
          <t>Mobilidade Urbana</t>
        </is>
      </c>
      <c r="I94" s="5" t="inlineStr">
        <is>
          <t>Uber - NuPay</t>
        </is>
      </c>
      <c r="J94" s="6" t="n">
        <v>13.82</v>
      </c>
      <c r="K94" s="7" t="inlineStr">
        <is>
          <t>Cartão Nubank PF</t>
        </is>
      </c>
      <c r="L94" s="5" t="inlineStr">
        <is>
          <t>Normal PF</t>
        </is>
      </c>
      <c r="M94" s="9" t="inlineStr">
        <is>
          <t>Liquidado</t>
        </is>
      </c>
      <c r="N94" s="17" t="inlineStr">
        <is>
          <t>Corrida Uber</t>
        </is>
      </c>
    </row>
    <row r="95">
      <c r="A95" s="9" t="n">
        <v>94</v>
      </c>
      <c r="B95" s="9" t="inlineStr">
        <is>
          <t>2026-09-01</t>
        </is>
      </c>
      <c r="C95" s="9" t="inlineStr">
        <is>
          <t>09/2026</t>
        </is>
      </c>
      <c r="D95" s="7" t="inlineStr">
        <is>
          <t>Cartão Nubank PF</t>
        </is>
      </c>
      <c r="E95" s="9" t="inlineStr">
        <is>
          <t>PF</t>
        </is>
      </c>
      <c r="F95" s="9" t="inlineStr">
        <is>
          <t>Despesa</t>
        </is>
      </c>
      <c r="G95" s="5" t="inlineStr">
        <is>
          <t>Transporte &amp; Veículos</t>
        </is>
      </c>
      <c r="H95" s="7" t="inlineStr">
        <is>
          <t>Combustível</t>
        </is>
      </c>
      <c r="I95" s="5" t="inlineStr">
        <is>
          <t>Posto Pedra Forte II</t>
        </is>
      </c>
      <c r="J95" s="6" t="n">
        <v>100</v>
      </c>
      <c r="K95" s="7" t="inlineStr">
        <is>
          <t>Cartão Nubank PF</t>
        </is>
      </c>
      <c r="L95" s="5" t="inlineStr">
        <is>
          <t>Normal PF</t>
        </is>
      </c>
      <c r="M95" s="9" t="inlineStr">
        <is>
          <t>Liquidado</t>
        </is>
      </c>
      <c r="N95" s="17" t="inlineStr">
        <is>
          <t>Abastecimento</t>
        </is>
      </c>
    </row>
    <row r="96">
      <c r="A96" s="9" t="n">
        <v>95</v>
      </c>
      <c r="B96" s="9" t="inlineStr">
        <is>
          <t>2026-09-01</t>
        </is>
      </c>
      <c r="C96" s="9" t="inlineStr">
        <is>
          <t>09/2026</t>
        </is>
      </c>
      <c r="D96" s="7" t="inlineStr">
        <is>
          <t>Cartão Nubank PF</t>
        </is>
      </c>
      <c r="E96" s="9" t="inlineStr">
        <is>
          <t>PF</t>
        </is>
      </c>
      <c r="F96" s="9" t="inlineStr">
        <is>
          <t>Despesa</t>
        </is>
      </c>
      <c r="G96" s="5" t="inlineStr">
        <is>
          <t>Alimentação</t>
        </is>
      </c>
      <c r="H96" s="7" t="inlineStr">
        <is>
          <t>Supermercados</t>
        </is>
      </c>
      <c r="I96" s="5" t="inlineStr">
        <is>
          <t>Supermercado Buritis</t>
        </is>
      </c>
      <c r="J96" s="6" t="n">
        <v>15.6</v>
      </c>
      <c r="K96" s="7" t="inlineStr">
        <is>
          <t>Cartão Nubank PF</t>
        </is>
      </c>
      <c r="L96" s="5" t="inlineStr">
        <is>
          <t>Normal PF</t>
        </is>
      </c>
      <c r="M96" s="9" t="inlineStr">
        <is>
          <t>Liquidado</t>
        </is>
      </c>
      <c r="N96" s="17" t="inlineStr">
        <is>
          <t>Mercado</t>
        </is>
      </c>
    </row>
    <row r="97">
      <c r="A97" s="9" t="n">
        <v>96</v>
      </c>
      <c r="B97" s="9" t="inlineStr">
        <is>
          <t>2026-09-01</t>
        </is>
      </c>
      <c r="C97" s="9" t="inlineStr">
        <is>
          <t>09/2026</t>
        </is>
      </c>
      <c r="D97" s="7" t="inlineStr">
        <is>
          <t>Cartão Nubank PF</t>
        </is>
      </c>
      <c r="E97" s="9" t="inlineStr">
        <is>
          <t>PF</t>
        </is>
      </c>
      <c r="F97" s="9" t="inlineStr">
        <is>
          <t>Despesa</t>
        </is>
      </c>
      <c r="G97" s="5" t="inlineStr">
        <is>
          <t>Alimentação</t>
        </is>
      </c>
      <c r="H97" s="7" t="inlineStr">
        <is>
          <t>Supermercados</t>
        </is>
      </c>
      <c r="I97" s="5" t="inlineStr">
        <is>
          <t>Supermercado Buritis</t>
        </is>
      </c>
      <c r="J97" s="6" t="n">
        <v>4.19</v>
      </c>
      <c r="K97" s="7" t="inlineStr">
        <is>
          <t>Cartão Nubank PF</t>
        </is>
      </c>
      <c r="L97" s="5" t="inlineStr">
        <is>
          <t>Normal PF</t>
        </is>
      </c>
      <c r="M97" s="9" t="inlineStr">
        <is>
          <t>Liquidado</t>
        </is>
      </c>
      <c r="N97" s="17" t="inlineStr">
        <is>
          <t>Mercado</t>
        </is>
      </c>
    </row>
    <row r="98">
      <c r="A98" s="9" t="n">
        <v>97</v>
      </c>
      <c r="B98" s="9" t="inlineStr">
        <is>
          <t>2026-09-01</t>
        </is>
      </c>
      <c r="C98" s="9" t="inlineStr">
        <is>
          <t>09/2026</t>
        </is>
      </c>
      <c r="D98" s="7" t="inlineStr">
        <is>
          <t>Cartão Nubank PF</t>
        </is>
      </c>
      <c r="E98" s="9" t="inlineStr">
        <is>
          <t>PF</t>
        </is>
      </c>
      <c r="F98" s="9" t="inlineStr">
        <is>
          <t>Despesa</t>
        </is>
      </c>
      <c r="G98" s="5" t="inlineStr">
        <is>
          <t>Alimentação</t>
        </is>
      </c>
      <c r="H98" s="7" t="inlineStr">
        <is>
          <t>Padaria / Lanches</t>
        </is>
      </c>
      <c r="I98" s="5" t="inlineStr">
        <is>
          <t>Mp *Rosinairibeir</t>
        </is>
      </c>
      <c r="J98" s="6" t="n">
        <v>17</v>
      </c>
      <c r="K98" s="7" t="inlineStr">
        <is>
          <t>Cartão Nubank PF</t>
        </is>
      </c>
      <c r="L98" s="5" t="inlineStr">
        <is>
          <t>Normal PF</t>
        </is>
      </c>
      <c r="M98" s="9" t="inlineStr">
        <is>
          <t>Liquidado</t>
        </is>
      </c>
      <c r="N98" s="17" t="inlineStr">
        <is>
          <t>Padaria</t>
        </is>
      </c>
    </row>
    <row r="99">
      <c r="A99" s="9" t="n">
        <v>98</v>
      </c>
      <c r="B99" s="9" t="inlineStr">
        <is>
          <t>2026-09-02</t>
        </is>
      </c>
      <c r="C99" s="9" t="inlineStr">
        <is>
          <t>09/2026</t>
        </is>
      </c>
      <c r="D99" s="7" t="inlineStr">
        <is>
          <t>Cartão Nubank PF</t>
        </is>
      </c>
      <c r="E99" s="9" t="inlineStr">
        <is>
          <t>PF</t>
        </is>
      </c>
      <c r="F99" s="9" t="inlineStr">
        <is>
          <t>Despesa</t>
        </is>
      </c>
      <c r="G99" s="5" t="inlineStr">
        <is>
          <t>Transporte &amp; Veículos</t>
        </is>
      </c>
      <c r="H99" s="7" t="inlineStr">
        <is>
          <t>Mobilidade Urbana</t>
        </is>
      </c>
      <c r="I99" s="5" t="inlineStr">
        <is>
          <t>Uber - NuPay</t>
        </is>
      </c>
      <c r="J99" s="6" t="n">
        <v>12.92</v>
      </c>
      <c r="K99" s="7" t="inlineStr">
        <is>
          <t>Cartão Nubank PF</t>
        </is>
      </c>
      <c r="L99" s="5" t="inlineStr">
        <is>
          <t>Normal PF</t>
        </is>
      </c>
      <c r="M99" s="9" t="inlineStr">
        <is>
          <t>Liquidado</t>
        </is>
      </c>
      <c r="N99" s="17" t="inlineStr">
        <is>
          <t>Corrida Uber</t>
        </is>
      </c>
    </row>
    <row r="100">
      <c r="A100" s="9" t="n">
        <v>99</v>
      </c>
      <c r="B100" s="9" t="inlineStr">
        <is>
          <t>2026-09-02</t>
        </is>
      </c>
      <c r="C100" s="9" t="inlineStr">
        <is>
          <t>09/2026</t>
        </is>
      </c>
      <c r="D100" s="7" t="inlineStr">
        <is>
          <t>Cartão Nubank PF</t>
        </is>
      </c>
      <c r="E100" s="9" t="inlineStr">
        <is>
          <t>PF</t>
        </is>
      </c>
      <c r="F100" s="9" t="inlineStr">
        <is>
          <t>Despesa</t>
        </is>
      </c>
      <c r="G100" s="5" t="inlineStr">
        <is>
          <t>Alimentação</t>
        </is>
      </c>
      <c r="H100" s="7" t="inlineStr">
        <is>
          <t>Supermercados</t>
        </is>
      </c>
      <c r="I100" s="5" t="inlineStr">
        <is>
          <t>Supermercado Buritis</t>
        </is>
      </c>
      <c r="J100" s="6" t="n">
        <v>94.2</v>
      </c>
      <c r="K100" s="7" t="inlineStr">
        <is>
          <t>Cartão Nubank PF</t>
        </is>
      </c>
      <c r="L100" s="5" t="inlineStr">
        <is>
          <t>Normal PF</t>
        </is>
      </c>
      <c r="M100" s="9" t="inlineStr">
        <is>
          <t>Liquidado</t>
        </is>
      </c>
      <c r="N100" s="17" t="inlineStr">
        <is>
          <t>Mercado</t>
        </is>
      </c>
    </row>
    <row r="101">
      <c r="A101" s="9" t="n">
        <v>100</v>
      </c>
      <c r="B101" s="9" t="inlineStr">
        <is>
          <t>2026-09-02</t>
        </is>
      </c>
      <c r="C101" s="9" t="inlineStr">
        <is>
          <t>09/2026</t>
        </is>
      </c>
      <c r="D101" s="7" t="inlineStr">
        <is>
          <t>Cartão Nubank PF</t>
        </is>
      </c>
      <c r="E101" s="9" t="inlineStr">
        <is>
          <t>PF</t>
        </is>
      </c>
      <c r="F101" s="9" t="inlineStr">
        <is>
          <t>Despesa</t>
        </is>
      </c>
      <c r="G101" s="5" t="inlineStr">
        <is>
          <t>Alimentação</t>
        </is>
      </c>
      <c r="H101" s="7" t="inlineStr">
        <is>
          <t>Supermercados</t>
        </is>
      </c>
      <c r="I101" s="5" t="inlineStr">
        <is>
          <t>Supermercado Buritis</t>
        </is>
      </c>
      <c r="J101" s="6" t="n">
        <v>31</v>
      </c>
      <c r="K101" s="7" t="inlineStr">
        <is>
          <t>Cartão Nubank PF</t>
        </is>
      </c>
      <c r="L101" s="5" t="inlineStr">
        <is>
          <t>Normal PF</t>
        </is>
      </c>
      <c r="M101" s="9" t="inlineStr">
        <is>
          <t>Liquidado</t>
        </is>
      </c>
      <c r="N101" s="17" t="inlineStr">
        <is>
          <t>Mercado</t>
        </is>
      </c>
    </row>
    <row r="102">
      <c r="A102" s="9" t="n">
        <v>101</v>
      </c>
      <c r="B102" s="9" t="inlineStr">
        <is>
          <t>2026-09-02</t>
        </is>
      </c>
      <c r="C102" s="9" t="inlineStr">
        <is>
          <t>09/2026</t>
        </is>
      </c>
      <c r="D102" s="7" t="inlineStr">
        <is>
          <t>Cartão Nubank PF</t>
        </is>
      </c>
      <c r="E102" s="9" t="inlineStr">
        <is>
          <t>PF</t>
        </is>
      </c>
      <c r="F102" s="9" t="inlineStr">
        <is>
          <t>Despesa</t>
        </is>
      </c>
      <c r="G102" s="5" t="inlineStr">
        <is>
          <t>Alimentação</t>
        </is>
      </c>
      <c r="H102" s="7" t="inlineStr">
        <is>
          <t>Restaurantes &amp; Lanches</t>
        </is>
      </c>
      <c r="I102" s="5" t="inlineStr">
        <is>
          <t>50677684 Adriano Cesar</t>
        </is>
      </c>
      <c r="J102" s="6" t="n">
        <v>22</v>
      </c>
      <c r="K102" s="7" t="inlineStr">
        <is>
          <t>Cartão Nubank PF</t>
        </is>
      </c>
      <c r="L102" s="5" t="inlineStr">
        <is>
          <t>Normal PF</t>
        </is>
      </c>
      <c r="M102" s="9" t="inlineStr">
        <is>
          <t>Liquidado</t>
        </is>
      </c>
      <c r="N102" s="17" t="inlineStr">
        <is>
          <t>Alimentação</t>
        </is>
      </c>
    </row>
    <row r="103">
      <c r="A103" s="9" t="n">
        <v>102</v>
      </c>
      <c r="B103" s="9" t="inlineStr">
        <is>
          <t>2026-09-03</t>
        </is>
      </c>
      <c r="C103" s="9" t="inlineStr">
        <is>
          <t>09/2026</t>
        </is>
      </c>
      <c r="D103" s="7" t="inlineStr">
        <is>
          <t>Cartão Nubank PF</t>
        </is>
      </c>
      <c r="E103" s="9" t="inlineStr">
        <is>
          <t>PF</t>
        </is>
      </c>
      <c r="F103" s="9" t="inlineStr">
        <is>
          <t>Despesa</t>
        </is>
      </c>
      <c r="G103" s="5" t="inlineStr">
        <is>
          <t>Alimentação</t>
        </is>
      </c>
      <c r="H103" s="7" t="inlineStr">
        <is>
          <t>Padaria / Lanches</t>
        </is>
      </c>
      <c r="I103" s="5" t="inlineStr">
        <is>
          <t>Mp *Pastelzinho</t>
        </is>
      </c>
      <c r="J103" s="6" t="n">
        <v>23</v>
      </c>
      <c r="K103" s="7" t="inlineStr">
        <is>
          <t>Cartão Nubank PF</t>
        </is>
      </c>
      <c r="L103" s="5" t="inlineStr">
        <is>
          <t>Normal PF</t>
        </is>
      </c>
      <c r="M103" s="9" t="inlineStr">
        <is>
          <t>Liquidado</t>
        </is>
      </c>
      <c r="N103" s="17" t="inlineStr">
        <is>
          <t>Lanches</t>
        </is>
      </c>
    </row>
    <row r="104">
      <c r="A104" s="9" t="n">
        <v>103</v>
      </c>
      <c r="B104" s="9" t="inlineStr">
        <is>
          <t>2026-09-04</t>
        </is>
      </c>
      <c r="C104" s="9" t="inlineStr">
        <is>
          <t>09/2026</t>
        </is>
      </c>
      <c r="D104" s="7" t="inlineStr">
        <is>
          <t>Cartão Nubank PF</t>
        </is>
      </c>
      <c r="E104" s="9" t="inlineStr">
        <is>
          <t>PF</t>
        </is>
      </c>
      <c r="F104" s="9" t="inlineStr">
        <is>
          <t>Despesa</t>
        </is>
      </c>
      <c r="G104" s="5" t="inlineStr">
        <is>
          <t>Transporte &amp; Veículos</t>
        </is>
      </c>
      <c r="H104" s="7" t="inlineStr">
        <is>
          <t>Combustível</t>
        </is>
      </c>
      <c r="I104" s="5" t="inlineStr">
        <is>
          <t>Auto Posto Mariano</t>
        </is>
      </c>
      <c r="J104" s="6" t="n">
        <v>152.81</v>
      </c>
      <c r="K104" s="7" t="inlineStr">
        <is>
          <t>Cartão Nubank PF</t>
        </is>
      </c>
      <c r="L104" s="5" t="inlineStr">
        <is>
          <t>Normal PF</t>
        </is>
      </c>
      <c r="M104" s="9" t="inlineStr">
        <is>
          <t>Liquidado</t>
        </is>
      </c>
      <c r="N104" s="17" t="inlineStr">
        <is>
          <t>Abastecimento</t>
        </is>
      </c>
    </row>
    <row r="105">
      <c r="A105" s="9" t="n">
        <v>104</v>
      </c>
      <c r="B105" s="9" t="inlineStr">
        <is>
          <t>2026-09-04</t>
        </is>
      </c>
      <c r="C105" s="9" t="inlineStr">
        <is>
          <t>09/2026</t>
        </is>
      </c>
      <c r="D105" s="7" t="inlineStr">
        <is>
          <t>Cartão Nubank PF</t>
        </is>
      </c>
      <c r="E105" s="9" t="inlineStr">
        <is>
          <t>PF</t>
        </is>
      </c>
      <c r="F105" s="9" t="inlineStr">
        <is>
          <t>Despesa</t>
        </is>
      </c>
      <c r="G105" s="5" t="inlineStr">
        <is>
          <t>Saúde &amp; Bem-Estar</t>
        </is>
      </c>
      <c r="H105" s="7" t="inlineStr">
        <is>
          <t>Farmácia</t>
        </is>
      </c>
      <c r="I105" s="5" t="inlineStr">
        <is>
          <t>Drogaria Nossa Senhora</t>
        </is>
      </c>
      <c r="J105" s="6" t="n">
        <v>127.94</v>
      </c>
      <c r="K105" s="7" t="inlineStr">
        <is>
          <t>Cartão Nubank PF</t>
        </is>
      </c>
      <c r="L105" s="5" t="inlineStr">
        <is>
          <t>Normal PF</t>
        </is>
      </c>
      <c r="M105" s="9" t="inlineStr">
        <is>
          <t>Liquidado</t>
        </is>
      </c>
      <c r="N105" s="17" t="inlineStr">
        <is>
          <t>Medicamentos</t>
        </is>
      </c>
    </row>
    <row r="106">
      <c r="A106" s="9" t="n">
        <v>105</v>
      </c>
      <c r="B106" s="9" t="inlineStr">
        <is>
          <t>2026-09-04</t>
        </is>
      </c>
      <c r="C106" s="9" t="inlineStr">
        <is>
          <t>09/2026</t>
        </is>
      </c>
      <c r="D106" s="7" t="inlineStr">
        <is>
          <t>Cartão Nubank PF</t>
        </is>
      </c>
      <c r="E106" s="9" t="inlineStr">
        <is>
          <t>PF</t>
        </is>
      </c>
      <c r="F106" s="9" t="inlineStr">
        <is>
          <t>Despesa</t>
        </is>
      </c>
      <c r="G106" s="5" t="inlineStr">
        <is>
          <t>Alimentação</t>
        </is>
      </c>
      <c r="H106" s="7" t="inlineStr">
        <is>
          <t>Restaurantes &amp; Lanches</t>
        </is>
      </c>
      <c r="I106" s="5" t="inlineStr">
        <is>
          <t>Restaurante Cardeal</t>
        </is>
      </c>
      <c r="J106" s="6" t="n">
        <v>79.59999999999999</v>
      </c>
      <c r="K106" s="7" t="inlineStr">
        <is>
          <t>Cartão Nubank PF</t>
        </is>
      </c>
      <c r="L106" s="5" t="inlineStr">
        <is>
          <t>Normal PF</t>
        </is>
      </c>
      <c r="M106" s="9" t="inlineStr">
        <is>
          <t>Liquidado</t>
        </is>
      </c>
      <c r="N106" s="17" t="inlineStr">
        <is>
          <t>Almoço</t>
        </is>
      </c>
    </row>
    <row r="107">
      <c r="A107" s="9" t="n">
        <v>106</v>
      </c>
      <c r="B107" s="9" t="inlineStr">
        <is>
          <t>2026-09-05</t>
        </is>
      </c>
      <c r="C107" s="9" t="inlineStr">
        <is>
          <t>09/2026</t>
        </is>
      </c>
      <c r="D107" s="7" t="inlineStr">
        <is>
          <t>Cartão Nubank PF</t>
        </is>
      </c>
      <c r="E107" s="9" t="inlineStr">
        <is>
          <t>PF</t>
        </is>
      </c>
      <c r="F107" s="9" t="inlineStr">
        <is>
          <t>Despesa</t>
        </is>
      </c>
      <c r="G107" s="5" t="inlineStr">
        <is>
          <t>Alimentação</t>
        </is>
      </c>
      <c r="H107" s="7" t="inlineStr">
        <is>
          <t>Restaurantes &amp; Lanches</t>
        </is>
      </c>
      <c r="I107" s="5" t="inlineStr">
        <is>
          <t>Edevaldo Jose da Mota</t>
        </is>
      </c>
      <c r="J107" s="6" t="n">
        <v>78</v>
      </c>
      <c r="K107" s="7" t="inlineStr">
        <is>
          <t>Cartão Nubank PF</t>
        </is>
      </c>
      <c r="L107" s="5" t="inlineStr">
        <is>
          <t>Normal PF</t>
        </is>
      </c>
      <c r="M107" s="9" t="inlineStr">
        <is>
          <t>Liquidado</t>
        </is>
      </c>
      <c r="N107" s="17" t="inlineStr">
        <is>
          <t>Alimentação</t>
        </is>
      </c>
    </row>
    <row r="108">
      <c r="A108" s="9" t="n">
        <v>107</v>
      </c>
      <c r="B108" s="9" t="inlineStr">
        <is>
          <t>2026-09-05</t>
        </is>
      </c>
      <c r="C108" s="9" t="inlineStr">
        <is>
          <t>09/2026</t>
        </is>
      </c>
      <c r="D108" s="7" t="inlineStr">
        <is>
          <t>Cartão Nubank PF</t>
        </is>
      </c>
      <c r="E108" s="9" t="inlineStr">
        <is>
          <t>PF</t>
        </is>
      </c>
      <c r="F108" s="9" t="inlineStr">
        <is>
          <t>Despesa</t>
        </is>
      </c>
      <c r="G108" s="5" t="inlineStr">
        <is>
          <t>Alimentação</t>
        </is>
      </c>
      <c r="H108" s="7" t="inlineStr">
        <is>
          <t>Restaurantes &amp; Lanches</t>
        </is>
      </c>
      <c r="I108" s="5" t="inlineStr">
        <is>
          <t>Ice Bom Sorvetes</t>
        </is>
      </c>
      <c r="J108" s="6" t="n">
        <v>25.27</v>
      </c>
      <c r="K108" s="7" t="inlineStr">
        <is>
          <t>Cartão Nubank PF</t>
        </is>
      </c>
      <c r="L108" s="5" t="inlineStr">
        <is>
          <t>Normal PF</t>
        </is>
      </c>
      <c r="M108" s="9" t="inlineStr">
        <is>
          <t>Liquidado</t>
        </is>
      </c>
      <c r="N108" s="17" t="inlineStr">
        <is>
          <t>Sorveteria</t>
        </is>
      </c>
    </row>
    <row r="109">
      <c r="A109" s="9" t="n">
        <v>108</v>
      </c>
      <c r="B109" s="9" t="inlineStr">
        <is>
          <t>2026-09-05</t>
        </is>
      </c>
      <c r="C109" s="9" t="inlineStr">
        <is>
          <t>09/2026</t>
        </is>
      </c>
      <c r="D109" s="7" t="inlineStr">
        <is>
          <t>Cartão Nubank PF</t>
        </is>
      </c>
      <c r="E109" s="9" t="inlineStr">
        <is>
          <t>PF</t>
        </is>
      </c>
      <c r="F109" s="9" t="inlineStr">
        <is>
          <t>Despesa</t>
        </is>
      </c>
      <c r="G109" s="5" t="inlineStr">
        <is>
          <t>Compras &amp; Lazer</t>
        </is>
      </c>
      <c r="H109" s="7" t="inlineStr">
        <is>
          <t>Farmácia / Cosméticos</t>
        </is>
      </c>
      <c r="I109" s="5" t="inlineStr">
        <is>
          <t>Perfumaria Sao Paulo L</t>
        </is>
      </c>
      <c r="J109" s="6" t="n">
        <v>7.99</v>
      </c>
      <c r="K109" s="7" t="inlineStr">
        <is>
          <t>Cartão Nubank PF</t>
        </is>
      </c>
      <c r="L109" s="5" t="inlineStr">
        <is>
          <t>Normal PF</t>
        </is>
      </c>
      <c r="M109" s="9" t="inlineStr">
        <is>
          <t>Liquidado</t>
        </is>
      </c>
      <c r="N109" s="17" t="inlineStr">
        <is>
          <t>Higiene / Cosméticos</t>
        </is>
      </c>
    </row>
    <row r="110">
      <c r="A110" s="9" t="n">
        <v>109</v>
      </c>
      <c r="B110" s="9" t="inlineStr">
        <is>
          <t>2026-09-06</t>
        </is>
      </c>
      <c r="C110" s="9" t="inlineStr">
        <is>
          <t>09/2026</t>
        </is>
      </c>
      <c r="D110" s="7" t="inlineStr">
        <is>
          <t>Cartão Nubank PF</t>
        </is>
      </c>
      <c r="E110" s="9" t="inlineStr">
        <is>
          <t>PF</t>
        </is>
      </c>
      <c r="F110" s="9" t="inlineStr">
        <is>
          <t>Despesa</t>
        </is>
      </c>
      <c r="G110" s="5" t="inlineStr">
        <is>
          <t>Alimentação</t>
        </is>
      </c>
      <c r="H110" s="7" t="inlineStr">
        <is>
          <t>Supermercados</t>
        </is>
      </c>
      <c r="I110" s="5" t="inlineStr">
        <is>
          <t>Mart Minas (Atacado - Compra do Mês)</t>
        </is>
      </c>
      <c r="J110" s="6" t="n">
        <v>1369.38</v>
      </c>
      <c r="K110" s="7" t="inlineStr">
        <is>
          <t>Cartão Nubank PF</t>
        </is>
      </c>
      <c r="L110" s="5" t="inlineStr">
        <is>
          <t>Normal PF</t>
        </is>
      </c>
      <c r="M110" s="9" t="inlineStr">
        <is>
          <t>Liquidado</t>
        </is>
      </c>
      <c r="N110" s="17" t="inlineStr">
        <is>
          <t>Compra principal da casa</t>
        </is>
      </c>
    </row>
    <row r="111">
      <c r="A111" s="9" t="n">
        <v>110</v>
      </c>
      <c r="B111" s="9" t="inlineStr">
        <is>
          <t>2026-09-06</t>
        </is>
      </c>
      <c r="C111" s="9" t="inlineStr">
        <is>
          <t>09/2026</t>
        </is>
      </c>
      <c r="D111" s="7" t="inlineStr">
        <is>
          <t>Cartão Nubank PF</t>
        </is>
      </c>
      <c r="E111" s="9" t="inlineStr">
        <is>
          <t>PF</t>
        </is>
      </c>
      <c r="F111" s="9" t="inlineStr">
        <is>
          <t>Despesa</t>
        </is>
      </c>
      <c r="G111" s="5" t="inlineStr">
        <is>
          <t>Alimentação</t>
        </is>
      </c>
      <c r="H111" s="7" t="inlineStr">
        <is>
          <t>Supermercados</t>
        </is>
      </c>
      <c r="I111" s="5" t="inlineStr">
        <is>
          <t>Supermercado Buritis</t>
        </is>
      </c>
      <c r="J111" s="6" t="n">
        <v>253.4</v>
      </c>
      <c r="K111" s="7" t="inlineStr">
        <is>
          <t>Cartão Nubank PF</t>
        </is>
      </c>
      <c r="L111" s="5" t="inlineStr">
        <is>
          <t>Normal PF</t>
        </is>
      </c>
      <c r="M111" s="9" t="inlineStr">
        <is>
          <t>Liquidado</t>
        </is>
      </c>
      <c r="N111" s="17" t="inlineStr">
        <is>
          <t>Mercado reposição</t>
        </is>
      </c>
    </row>
    <row r="112">
      <c r="A112" s="9" t="n">
        <v>111</v>
      </c>
      <c r="B112" s="9" t="inlineStr">
        <is>
          <t>2026-09-06</t>
        </is>
      </c>
      <c r="C112" s="9" t="inlineStr">
        <is>
          <t>09/2026</t>
        </is>
      </c>
      <c r="D112" s="7" t="inlineStr">
        <is>
          <t>Cartão Nubank PF</t>
        </is>
      </c>
      <c r="E112" s="9" t="inlineStr">
        <is>
          <t>PF</t>
        </is>
      </c>
      <c r="F112" s="9" t="inlineStr">
        <is>
          <t>Despesa</t>
        </is>
      </c>
      <c r="G112" s="5" t="inlineStr">
        <is>
          <t>Transporte &amp; Veículos</t>
        </is>
      </c>
      <c r="H112" s="7" t="inlineStr">
        <is>
          <t>Combustível</t>
        </is>
      </c>
      <c r="I112" s="5" t="inlineStr">
        <is>
          <t>Auto Posto Mariano</t>
        </is>
      </c>
      <c r="J112" s="6" t="n">
        <v>50</v>
      </c>
      <c r="K112" s="7" t="inlineStr">
        <is>
          <t>Cartão Nubank PF</t>
        </is>
      </c>
      <c r="L112" s="5" t="inlineStr">
        <is>
          <t>Normal PF</t>
        </is>
      </c>
      <c r="M112" s="9" t="inlineStr">
        <is>
          <t>Liquidado</t>
        </is>
      </c>
      <c r="N112" s="17" t="inlineStr">
        <is>
          <t>Abastecimento</t>
        </is>
      </c>
    </row>
    <row r="113">
      <c r="A113" s="9" t="n">
        <v>112</v>
      </c>
      <c r="B113" s="9" t="inlineStr">
        <is>
          <t>2026-09-07</t>
        </is>
      </c>
      <c r="C113" s="9" t="inlineStr">
        <is>
          <t>09/2026</t>
        </is>
      </c>
      <c r="D113" s="7" t="inlineStr">
        <is>
          <t>Cartão Nubank PF</t>
        </is>
      </c>
      <c r="E113" s="9" t="inlineStr">
        <is>
          <t>PF</t>
        </is>
      </c>
      <c r="F113" s="9" t="inlineStr">
        <is>
          <t>Despesa</t>
        </is>
      </c>
      <c r="G113" s="5" t="inlineStr">
        <is>
          <t>Moradia</t>
        </is>
      </c>
      <c r="H113" s="7" t="inlineStr">
        <is>
          <t>Conectividade / Telefone</t>
        </is>
      </c>
      <c r="I113" s="5" t="inlineStr">
        <is>
          <t>Tim *75992503292</t>
        </is>
      </c>
      <c r="J113" s="6" t="n">
        <v>60.35</v>
      </c>
      <c r="K113" s="7" t="inlineStr">
        <is>
          <t>Cartão Nubank PF</t>
        </is>
      </c>
      <c r="L113" s="5" t="inlineStr">
        <is>
          <t>Normal PF</t>
        </is>
      </c>
      <c r="M113" s="9" t="inlineStr">
        <is>
          <t>Liquidado</t>
        </is>
      </c>
      <c r="N113" s="17" t="inlineStr">
        <is>
          <t>Recarga / Telefonia</t>
        </is>
      </c>
    </row>
    <row r="114">
      <c r="A114" s="9" t="n">
        <v>113</v>
      </c>
      <c r="B114" s="9" t="inlineStr">
        <is>
          <t>2026-09-07</t>
        </is>
      </c>
      <c r="C114" s="9" t="inlineStr">
        <is>
          <t>09/2026</t>
        </is>
      </c>
      <c r="D114" s="7" t="inlineStr">
        <is>
          <t>Cartão Nubank PF</t>
        </is>
      </c>
      <c r="E114" s="9" t="inlineStr">
        <is>
          <t>PF</t>
        </is>
      </c>
      <c r="F114" s="9" t="inlineStr">
        <is>
          <t>Despesa</t>
        </is>
      </c>
      <c r="G114" s="5" t="inlineStr">
        <is>
          <t>Transporte &amp; Veículos</t>
        </is>
      </c>
      <c r="H114" s="7" t="inlineStr">
        <is>
          <t>Combustível</t>
        </is>
      </c>
      <c r="I114" s="5" t="inlineStr">
        <is>
          <t>Abastecedora Jaborandi</t>
        </is>
      </c>
      <c r="J114" s="6" t="n">
        <v>84.03</v>
      </c>
      <c r="K114" s="7" t="inlineStr">
        <is>
          <t>Cartão Nubank PF</t>
        </is>
      </c>
      <c r="L114" s="5" t="inlineStr">
        <is>
          <t>Normal PF</t>
        </is>
      </c>
      <c r="M114" s="9" t="inlineStr">
        <is>
          <t>Liquidado</t>
        </is>
      </c>
      <c r="N114" s="17" t="inlineStr">
        <is>
          <t>Abastecimento</t>
        </is>
      </c>
    </row>
    <row r="115">
      <c r="A115" s="9" t="n">
        <v>114</v>
      </c>
      <c r="B115" s="9" t="inlineStr">
        <is>
          <t>2026-09-08</t>
        </is>
      </c>
      <c r="C115" s="9" t="inlineStr">
        <is>
          <t>09/2026</t>
        </is>
      </c>
      <c r="D115" s="7" t="inlineStr">
        <is>
          <t>Cartão Nubank PF</t>
        </is>
      </c>
      <c r="E115" s="9" t="inlineStr">
        <is>
          <t>PF</t>
        </is>
      </c>
      <c r="F115" s="9" t="inlineStr">
        <is>
          <t>Despesa</t>
        </is>
      </c>
      <c r="G115" s="5" t="inlineStr">
        <is>
          <t>Compras &amp; Lazer</t>
        </is>
      </c>
      <c r="H115" s="7" t="inlineStr">
        <is>
          <t>Compras Online</t>
        </is>
      </c>
      <c r="I115" s="5" t="inlineStr">
        <is>
          <t>Mercado Livre *Serversi</t>
        </is>
      </c>
      <c r="J115" s="6" t="n">
        <v>129</v>
      </c>
      <c r="K115" s="7" t="inlineStr">
        <is>
          <t>Cartão Nubank PF</t>
        </is>
      </c>
      <c r="L115" s="5" t="inlineStr">
        <is>
          <t>Normal PF</t>
        </is>
      </c>
      <c r="M115" s="9" t="inlineStr">
        <is>
          <t>Liquidado</t>
        </is>
      </c>
      <c r="N115" s="17" t="inlineStr">
        <is>
          <t>Compra online</t>
        </is>
      </c>
    </row>
    <row r="116">
      <c r="A116" s="9" t="n">
        <v>115</v>
      </c>
      <c r="B116" s="9" t="inlineStr">
        <is>
          <t>2026-09-08</t>
        </is>
      </c>
      <c r="C116" s="9" t="inlineStr">
        <is>
          <t>09/2026</t>
        </is>
      </c>
      <c r="D116" s="7" t="inlineStr">
        <is>
          <t>Cartão Nubank PF</t>
        </is>
      </c>
      <c r="E116" s="9" t="inlineStr">
        <is>
          <t>PF</t>
        </is>
      </c>
      <c r="F116" s="9" t="inlineStr">
        <is>
          <t>Despesa</t>
        </is>
      </c>
      <c r="G116" s="5" t="inlineStr">
        <is>
          <t>Alimentação</t>
        </is>
      </c>
      <c r="H116" s="7" t="inlineStr">
        <is>
          <t>Supermercados</t>
        </is>
      </c>
      <c r="I116" s="5" t="inlineStr">
        <is>
          <t>Rodrigues Rodrigues Su</t>
        </is>
      </c>
      <c r="J116" s="6" t="n">
        <v>77.93000000000001</v>
      </c>
      <c r="K116" s="7" t="inlineStr">
        <is>
          <t>Cartão Nubank PF</t>
        </is>
      </c>
      <c r="L116" s="5" t="inlineStr">
        <is>
          <t>Normal PF</t>
        </is>
      </c>
      <c r="M116" s="9" t="inlineStr">
        <is>
          <t>Liquidado</t>
        </is>
      </c>
      <c r="N116" s="17" t="inlineStr">
        <is>
          <t>Mercado</t>
        </is>
      </c>
    </row>
    <row r="117">
      <c r="A117" s="9" t="n">
        <v>116</v>
      </c>
      <c r="B117" s="9" t="inlineStr">
        <is>
          <t>2026-09-08</t>
        </is>
      </c>
      <c r="C117" s="9" t="inlineStr">
        <is>
          <t>09/2026</t>
        </is>
      </c>
      <c r="D117" s="7" t="inlineStr">
        <is>
          <t>Cartão Nubank PF</t>
        </is>
      </c>
      <c r="E117" s="9" t="inlineStr">
        <is>
          <t>PF</t>
        </is>
      </c>
      <c r="F117" s="9" t="inlineStr">
        <is>
          <t>Despesa</t>
        </is>
      </c>
      <c r="G117" s="5" t="inlineStr">
        <is>
          <t>Compras &amp; Lazer</t>
        </is>
      </c>
      <c r="H117" s="7" t="inlineStr">
        <is>
          <t>Diversos</t>
        </is>
      </c>
      <c r="I117" s="5" t="inlineStr">
        <is>
          <t>de Paula Comercio</t>
        </is>
      </c>
      <c r="J117" s="6" t="n">
        <v>46.9</v>
      </c>
      <c r="K117" s="7" t="inlineStr">
        <is>
          <t>Cartão Nubank PF</t>
        </is>
      </c>
      <c r="L117" s="5" t="inlineStr">
        <is>
          <t>Normal PF</t>
        </is>
      </c>
      <c r="M117" s="9" t="inlineStr">
        <is>
          <t>Liquidado</t>
        </is>
      </c>
      <c r="N117" s="17" t="inlineStr">
        <is>
          <t>Comércio</t>
        </is>
      </c>
    </row>
    <row r="118">
      <c r="A118" s="9" t="n">
        <v>117</v>
      </c>
      <c r="B118" s="9" t="inlineStr">
        <is>
          <t>2026-09-09</t>
        </is>
      </c>
      <c r="C118" s="9" t="inlineStr">
        <is>
          <t>09/2026</t>
        </is>
      </c>
      <c r="D118" s="7" t="inlineStr">
        <is>
          <t>Cartão Nubank PF</t>
        </is>
      </c>
      <c r="E118" s="9" t="inlineStr">
        <is>
          <t>PF</t>
        </is>
      </c>
      <c r="F118" s="9" t="inlineStr">
        <is>
          <t>Despesa</t>
        </is>
      </c>
      <c r="G118" s="5" t="inlineStr">
        <is>
          <t>Alimentação</t>
        </is>
      </c>
      <c r="H118" s="7" t="inlineStr">
        <is>
          <t>Padaria / Lanches</t>
        </is>
      </c>
      <c r="I118" s="5" t="inlineStr">
        <is>
          <t>Mp *Rosinairibeir</t>
        </is>
      </c>
      <c r="J118" s="6" t="n">
        <v>17</v>
      </c>
      <c r="K118" s="7" t="inlineStr">
        <is>
          <t>Cartão Nubank PF</t>
        </is>
      </c>
      <c r="L118" s="5" t="inlineStr">
        <is>
          <t>Normal PF</t>
        </is>
      </c>
      <c r="M118" s="9" t="inlineStr">
        <is>
          <t>Liquidado</t>
        </is>
      </c>
      <c r="N118" s="17" t="inlineStr">
        <is>
          <t>Padaria</t>
        </is>
      </c>
    </row>
    <row r="119">
      <c r="A119" s="9" t="n">
        <v>118</v>
      </c>
      <c r="B119" s="9" t="inlineStr">
        <is>
          <t>2026-09-09</t>
        </is>
      </c>
      <c r="C119" s="9" t="inlineStr">
        <is>
          <t>09/2026</t>
        </is>
      </c>
      <c r="D119" s="7" t="inlineStr">
        <is>
          <t>Cartão Nubank PF</t>
        </is>
      </c>
      <c r="E119" s="9" t="inlineStr">
        <is>
          <t>PF</t>
        </is>
      </c>
      <c r="F119" s="9" t="inlineStr">
        <is>
          <t>Despesa</t>
        </is>
      </c>
      <c r="G119" s="5" t="inlineStr">
        <is>
          <t>Compras &amp; Lazer</t>
        </is>
      </c>
      <c r="H119" s="7" t="inlineStr">
        <is>
          <t>Diversos</t>
        </is>
      </c>
      <c r="I119" s="5" t="inlineStr">
        <is>
          <t>43 839 29 Marlon Nery</t>
        </is>
      </c>
      <c r="J119" s="6" t="n">
        <v>45</v>
      </c>
      <c r="K119" s="7" t="inlineStr">
        <is>
          <t>Cartão Nubank PF</t>
        </is>
      </c>
      <c r="L119" s="5" t="inlineStr">
        <is>
          <t>Normal PF</t>
        </is>
      </c>
      <c r="M119" s="9" t="inlineStr">
        <is>
          <t>Liquidado</t>
        </is>
      </c>
      <c r="N119" s="17" t="inlineStr">
        <is>
          <t>Serviço</t>
        </is>
      </c>
    </row>
    <row r="120">
      <c r="A120" s="9" t="n">
        <v>119</v>
      </c>
      <c r="B120" s="9" t="inlineStr">
        <is>
          <t>2026-09-10</t>
        </is>
      </c>
      <c r="C120" s="9" t="inlineStr">
        <is>
          <t>09/2026</t>
        </is>
      </c>
      <c r="D120" s="7" t="inlineStr">
        <is>
          <t>Cartão Nubank PF</t>
        </is>
      </c>
      <c r="E120" s="9" t="inlineStr">
        <is>
          <t>PF</t>
        </is>
      </c>
      <c r="F120" s="9" t="inlineStr">
        <is>
          <t>Despesa</t>
        </is>
      </c>
      <c r="G120" s="5" t="inlineStr">
        <is>
          <t>Alimentação</t>
        </is>
      </c>
      <c r="H120" s="7" t="inlineStr">
        <is>
          <t>Restaurantes &amp; Lanches</t>
        </is>
      </c>
      <c r="I120" s="5" t="inlineStr">
        <is>
          <t>Pg *Cantina do Bila</t>
        </is>
      </c>
      <c r="J120" s="6" t="n">
        <v>53</v>
      </c>
      <c r="K120" s="7" t="inlineStr">
        <is>
          <t>Cartão Nubank PF</t>
        </is>
      </c>
      <c r="L120" s="5" t="inlineStr">
        <is>
          <t>Normal PF</t>
        </is>
      </c>
      <c r="M120" s="9" t="inlineStr">
        <is>
          <t>Liquidado</t>
        </is>
      </c>
      <c r="N120" s="17" t="inlineStr">
        <is>
          <t>Refeição</t>
        </is>
      </c>
    </row>
    <row r="121">
      <c r="A121" s="9" t="n">
        <v>120</v>
      </c>
      <c r="B121" s="9" t="inlineStr">
        <is>
          <t>2026-09-10</t>
        </is>
      </c>
      <c r="C121" s="9" t="inlineStr">
        <is>
          <t>09/2026</t>
        </is>
      </c>
      <c r="D121" s="7" t="inlineStr">
        <is>
          <t>Cartão Nubank PF</t>
        </is>
      </c>
      <c r="E121" s="9" t="inlineStr">
        <is>
          <t>PF</t>
        </is>
      </c>
      <c r="F121" s="9" t="inlineStr">
        <is>
          <t>Despesa</t>
        </is>
      </c>
      <c r="G121" s="5" t="inlineStr">
        <is>
          <t>Alimentação</t>
        </is>
      </c>
      <c r="H121" s="7" t="inlineStr">
        <is>
          <t>Supermercados</t>
        </is>
      </c>
      <c r="I121" s="5" t="inlineStr">
        <is>
          <t>Supermercado Buritis</t>
        </is>
      </c>
      <c r="J121" s="6" t="n">
        <v>52.39</v>
      </c>
      <c r="K121" s="7" t="inlineStr">
        <is>
          <t>Cartão Nubank PF</t>
        </is>
      </c>
      <c r="L121" s="5" t="inlineStr">
        <is>
          <t>Normal PF</t>
        </is>
      </c>
      <c r="M121" s="9" t="inlineStr">
        <is>
          <t>Liquidado</t>
        </is>
      </c>
      <c r="N121" s="17" t="inlineStr">
        <is>
          <t>Mercado</t>
        </is>
      </c>
    </row>
    <row r="122">
      <c r="A122" s="9" t="n">
        <v>121</v>
      </c>
      <c r="B122" s="9" t="inlineStr">
        <is>
          <t>2026-09-10</t>
        </is>
      </c>
      <c r="C122" s="9" t="inlineStr">
        <is>
          <t>09/2026</t>
        </is>
      </c>
      <c r="D122" s="7" t="inlineStr">
        <is>
          <t>Cartão Nubank PF</t>
        </is>
      </c>
      <c r="E122" s="9" t="inlineStr">
        <is>
          <t>PF</t>
        </is>
      </c>
      <c r="F122" s="9" t="inlineStr">
        <is>
          <t>Despesa</t>
        </is>
      </c>
      <c r="G122" s="5" t="inlineStr">
        <is>
          <t>Alimentação</t>
        </is>
      </c>
      <c r="H122" s="7" t="inlineStr">
        <is>
          <t>Padaria / Lanches</t>
        </is>
      </c>
      <c r="I122" s="5" t="inlineStr">
        <is>
          <t>Mp *Rosinairibeir</t>
        </is>
      </c>
      <c r="J122" s="6" t="n">
        <v>18</v>
      </c>
      <c r="K122" s="7" t="inlineStr">
        <is>
          <t>Cartão Nubank PF</t>
        </is>
      </c>
      <c r="L122" s="5" t="inlineStr">
        <is>
          <t>Normal PF</t>
        </is>
      </c>
      <c r="M122" s="9" t="inlineStr">
        <is>
          <t>Liquidado</t>
        </is>
      </c>
      <c r="N122" s="17" t="inlineStr">
        <is>
          <t>Padaria</t>
        </is>
      </c>
    </row>
    <row r="123">
      <c r="A123" s="9" t="n">
        <v>122</v>
      </c>
      <c r="B123" s="9" t="inlineStr">
        <is>
          <t>2026-09-11</t>
        </is>
      </c>
      <c r="C123" s="9" t="inlineStr">
        <is>
          <t>09/2026</t>
        </is>
      </c>
      <c r="D123" s="7" t="inlineStr">
        <is>
          <t>Cartão Nubank PF</t>
        </is>
      </c>
      <c r="E123" s="9" t="inlineStr">
        <is>
          <t>PF</t>
        </is>
      </c>
      <c r="F123" s="9" t="inlineStr">
        <is>
          <t>Despesa</t>
        </is>
      </c>
      <c r="G123" s="5" t="inlineStr">
        <is>
          <t>Transporte &amp; Veículos</t>
        </is>
      </c>
      <c r="H123" s="7" t="inlineStr">
        <is>
          <t>Combustível</t>
        </is>
      </c>
      <c r="I123" s="5" t="inlineStr">
        <is>
          <t>Auto Posto Mariano</t>
        </is>
      </c>
      <c r="J123" s="6" t="n">
        <v>157.83</v>
      </c>
      <c r="K123" s="7" t="inlineStr">
        <is>
          <t>Cartão Nubank PF</t>
        </is>
      </c>
      <c r="L123" s="5" t="inlineStr">
        <is>
          <t>Normal PF</t>
        </is>
      </c>
      <c r="M123" s="9" t="inlineStr">
        <is>
          <t>Liquidado</t>
        </is>
      </c>
      <c r="N123" s="17" t="inlineStr">
        <is>
          <t>Abastecimento</t>
        </is>
      </c>
    </row>
    <row r="124">
      <c r="A124" s="9" t="n">
        <v>123</v>
      </c>
      <c r="B124" s="9" t="inlineStr">
        <is>
          <t>2026-09-11</t>
        </is>
      </c>
      <c r="C124" s="9" t="inlineStr">
        <is>
          <t>09/2026</t>
        </is>
      </c>
      <c r="D124" s="7" t="inlineStr">
        <is>
          <t>Cartão Nubank PF</t>
        </is>
      </c>
      <c r="E124" s="9" t="inlineStr">
        <is>
          <t>PF</t>
        </is>
      </c>
      <c r="F124" s="9" t="inlineStr">
        <is>
          <t>Despesa</t>
        </is>
      </c>
      <c r="G124" s="5" t="inlineStr">
        <is>
          <t>Transporte &amp; Veículos</t>
        </is>
      </c>
      <c r="H124" s="7" t="inlineStr">
        <is>
          <t>Combustível</t>
        </is>
      </c>
      <c r="I124" s="5" t="inlineStr">
        <is>
          <t>Auto Posto Mariano</t>
        </is>
      </c>
      <c r="J124" s="6" t="n">
        <v>105</v>
      </c>
      <c r="K124" s="7" t="inlineStr">
        <is>
          <t>Cartão Nubank PF</t>
        </is>
      </c>
      <c r="L124" s="5" t="inlineStr">
        <is>
          <t>Normal PF</t>
        </is>
      </c>
      <c r="M124" s="9" t="inlineStr">
        <is>
          <t>Liquidado</t>
        </is>
      </c>
      <c r="N124" s="17" t="inlineStr">
        <is>
          <t>Abastecimento</t>
        </is>
      </c>
    </row>
    <row r="125">
      <c r="A125" s="9" t="n">
        <v>124</v>
      </c>
      <c r="B125" s="9" t="inlineStr">
        <is>
          <t>2026-09-11</t>
        </is>
      </c>
      <c r="C125" s="9" t="inlineStr">
        <is>
          <t>09/2026</t>
        </is>
      </c>
      <c r="D125" s="7" t="inlineStr">
        <is>
          <t>Cartão Nubank PF</t>
        </is>
      </c>
      <c r="E125" s="9" t="inlineStr">
        <is>
          <t>PF</t>
        </is>
      </c>
      <c r="F125" s="9" t="inlineStr">
        <is>
          <t>Despesa</t>
        </is>
      </c>
      <c r="G125" s="5" t="inlineStr">
        <is>
          <t>Compras &amp; Lazer</t>
        </is>
      </c>
      <c r="H125" s="7" t="inlineStr">
        <is>
          <t>Pets / Agropecuária</t>
        </is>
      </c>
      <c r="I125" s="5" t="inlineStr">
        <is>
          <t>Petagro</t>
        </is>
      </c>
      <c r="J125" s="6" t="n">
        <v>79.90000000000001</v>
      </c>
      <c r="K125" s="7" t="inlineStr">
        <is>
          <t>Cartão Nubank PF</t>
        </is>
      </c>
      <c r="L125" s="5" t="inlineStr">
        <is>
          <t>Normal PF</t>
        </is>
      </c>
      <c r="M125" s="9" t="inlineStr">
        <is>
          <t>Liquidado</t>
        </is>
      </c>
      <c r="N125" s="17" t="inlineStr">
        <is>
          <t>Petshop / Rações</t>
        </is>
      </c>
    </row>
    <row r="126">
      <c r="A126" s="9" t="n">
        <v>125</v>
      </c>
      <c r="B126" s="9" t="inlineStr">
        <is>
          <t>2026-09-11</t>
        </is>
      </c>
      <c r="C126" s="9" t="inlineStr">
        <is>
          <t>09/2026</t>
        </is>
      </c>
      <c r="D126" s="7" t="inlineStr">
        <is>
          <t>Cartão Nubank PF</t>
        </is>
      </c>
      <c r="E126" s="9" t="inlineStr">
        <is>
          <t>PF</t>
        </is>
      </c>
      <c r="F126" s="9" t="inlineStr">
        <is>
          <t>Despesa</t>
        </is>
      </c>
      <c r="G126" s="5" t="inlineStr">
        <is>
          <t>Alimentação</t>
        </is>
      </c>
      <c r="H126" s="7" t="inlineStr">
        <is>
          <t>Supermercados</t>
        </is>
      </c>
      <c r="I126" s="5" t="inlineStr">
        <is>
          <t>Rodrigues Rodrigues Su</t>
        </is>
      </c>
      <c r="J126" s="6" t="n">
        <v>39.49</v>
      </c>
      <c r="K126" s="7" t="inlineStr">
        <is>
          <t>Cartão Nubank PF</t>
        </is>
      </c>
      <c r="L126" s="5" t="inlineStr">
        <is>
          <t>Normal PF</t>
        </is>
      </c>
      <c r="M126" s="9" t="inlineStr">
        <is>
          <t>Liquidado</t>
        </is>
      </c>
      <c r="N126" s="17" t="inlineStr">
        <is>
          <t>Mercado</t>
        </is>
      </c>
    </row>
    <row r="127">
      <c r="A127" s="9" t="n">
        <v>126</v>
      </c>
      <c r="B127" s="9" t="inlineStr">
        <is>
          <t>2026-09-12</t>
        </is>
      </c>
      <c r="C127" s="9" t="inlineStr">
        <is>
          <t>09/2026</t>
        </is>
      </c>
      <c r="D127" s="7" t="inlineStr">
        <is>
          <t>Cartão Nubank PF</t>
        </is>
      </c>
      <c r="E127" s="9" t="inlineStr">
        <is>
          <t>PF</t>
        </is>
      </c>
      <c r="F127" s="9" t="inlineStr">
        <is>
          <t>Despesa</t>
        </is>
      </c>
      <c r="G127" s="5" t="inlineStr">
        <is>
          <t>Alimentação</t>
        </is>
      </c>
      <c r="H127" s="7" t="inlineStr">
        <is>
          <t>Restaurantes &amp; Lanches</t>
        </is>
      </c>
      <c r="I127" s="5" t="inlineStr">
        <is>
          <t>Edevaldo Jose da Mota</t>
        </is>
      </c>
      <c r="J127" s="6" t="n">
        <v>72</v>
      </c>
      <c r="K127" s="7" t="inlineStr">
        <is>
          <t>Cartão Nubank PF</t>
        </is>
      </c>
      <c r="L127" s="5" t="inlineStr">
        <is>
          <t>Normal PF</t>
        </is>
      </c>
      <c r="M127" s="9" t="inlineStr">
        <is>
          <t>Liquidado</t>
        </is>
      </c>
      <c r="N127" s="17" t="inlineStr">
        <is>
          <t>Alimentação</t>
        </is>
      </c>
    </row>
    <row r="128">
      <c r="A128" s="9" t="n">
        <v>127</v>
      </c>
      <c r="B128" s="9" t="inlineStr">
        <is>
          <t>2026-09-12</t>
        </is>
      </c>
      <c r="C128" s="9" t="inlineStr">
        <is>
          <t>09/2026</t>
        </is>
      </c>
      <c r="D128" s="7" t="inlineStr">
        <is>
          <t>Cartão Nubank PF</t>
        </is>
      </c>
      <c r="E128" s="9" t="inlineStr">
        <is>
          <t>PF</t>
        </is>
      </c>
      <c r="F128" s="9" t="inlineStr">
        <is>
          <t>Despesa</t>
        </is>
      </c>
      <c r="G128" s="5" t="inlineStr">
        <is>
          <t>Alimentação</t>
        </is>
      </c>
      <c r="H128" s="7" t="inlineStr">
        <is>
          <t>Restaurantes &amp; Lanches</t>
        </is>
      </c>
      <c r="I128" s="5" t="inlineStr">
        <is>
          <t>Churros Balducci</t>
        </is>
      </c>
      <c r="J128" s="6" t="n">
        <v>30</v>
      </c>
      <c r="K128" s="7" t="inlineStr">
        <is>
          <t>Cartão Nubank PF</t>
        </is>
      </c>
      <c r="L128" s="5" t="inlineStr">
        <is>
          <t>Normal PF</t>
        </is>
      </c>
      <c r="M128" s="9" t="inlineStr">
        <is>
          <t>Liquidado</t>
        </is>
      </c>
      <c r="N128" s="17" t="inlineStr">
        <is>
          <t>Sobremesa</t>
        </is>
      </c>
    </row>
    <row r="129">
      <c r="A129" s="9" t="n">
        <v>128</v>
      </c>
      <c r="B129" s="9" t="inlineStr">
        <is>
          <t>2026-09-12</t>
        </is>
      </c>
      <c r="C129" s="9" t="inlineStr">
        <is>
          <t>09/2026</t>
        </is>
      </c>
      <c r="D129" s="7" t="inlineStr">
        <is>
          <t>Cartão Nubank PF</t>
        </is>
      </c>
      <c r="E129" s="9" t="inlineStr">
        <is>
          <t>PF</t>
        </is>
      </c>
      <c r="F129" s="9" t="inlineStr">
        <is>
          <t>Despesa</t>
        </is>
      </c>
      <c r="G129" s="5" t="inlineStr">
        <is>
          <t>Alimentação</t>
        </is>
      </c>
      <c r="H129" s="7" t="inlineStr">
        <is>
          <t>Padaria / Lanches</t>
        </is>
      </c>
      <c r="I129" s="5" t="inlineStr">
        <is>
          <t>Mp *Rosinairibeir</t>
        </is>
      </c>
      <c r="J129" s="6" t="n">
        <v>13.5</v>
      </c>
      <c r="K129" s="7" t="inlineStr">
        <is>
          <t>Cartão Nubank PF</t>
        </is>
      </c>
      <c r="L129" s="5" t="inlineStr">
        <is>
          <t>Normal PF</t>
        </is>
      </c>
      <c r="M129" s="9" t="inlineStr">
        <is>
          <t>Liquidado</t>
        </is>
      </c>
      <c r="N129" s="17" t="inlineStr">
        <is>
          <t>Padaria</t>
        </is>
      </c>
    </row>
    <row r="130">
      <c r="A130" s="9" t="n">
        <v>129</v>
      </c>
      <c r="B130" s="9" t="inlineStr">
        <is>
          <t>2026-09-13</t>
        </is>
      </c>
      <c r="C130" s="9" t="inlineStr">
        <is>
          <t>09/2026</t>
        </is>
      </c>
      <c r="D130" s="7" t="inlineStr">
        <is>
          <t>Cartão Nubank PF</t>
        </is>
      </c>
      <c r="E130" s="9" t="inlineStr">
        <is>
          <t>PF</t>
        </is>
      </c>
      <c r="F130" s="9" t="inlineStr">
        <is>
          <t>Despesa</t>
        </is>
      </c>
      <c r="G130" s="5" t="inlineStr">
        <is>
          <t>Compras &amp; Lazer</t>
        </is>
      </c>
      <c r="H130" s="7" t="inlineStr">
        <is>
          <t>Streaming / Assinaturas</t>
        </is>
      </c>
      <c r="I130" s="5" t="inlineStr">
        <is>
          <t>Netflix.Com</t>
        </is>
      </c>
      <c r="J130" s="6" t="n">
        <v>44.9</v>
      </c>
      <c r="K130" s="7" t="inlineStr">
        <is>
          <t>Cartão Nubank PF</t>
        </is>
      </c>
      <c r="L130" s="5" t="inlineStr">
        <is>
          <t>Normal PF</t>
        </is>
      </c>
      <c r="M130" s="9" t="inlineStr">
        <is>
          <t>Liquidado</t>
        </is>
      </c>
      <c r="N130" s="17" t="inlineStr">
        <is>
          <t>Streaming</t>
        </is>
      </c>
    </row>
    <row r="131">
      <c r="A131" s="9" t="n">
        <v>130</v>
      </c>
      <c r="B131" s="9" t="inlineStr">
        <is>
          <t>2026-09-13</t>
        </is>
      </c>
      <c r="C131" s="9" t="inlineStr">
        <is>
          <t>09/2026</t>
        </is>
      </c>
      <c r="D131" s="7" t="inlineStr">
        <is>
          <t>Cartão Nubank PF</t>
        </is>
      </c>
      <c r="E131" s="9" t="inlineStr">
        <is>
          <t>PF</t>
        </is>
      </c>
      <c r="F131" s="9" t="inlineStr">
        <is>
          <t>Despesa</t>
        </is>
      </c>
      <c r="G131" s="5" t="inlineStr">
        <is>
          <t>Compras &amp; Lazer</t>
        </is>
      </c>
      <c r="H131" s="7" t="inlineStr">
        <is>
          <t>Streaming / Assinaturas</t>
        </is>
      </c>
      <c r="I131" s="5" t="inlineStr">
        <is>
          <t>Ebn *Spotify</t>
        </is>
      </c>
      <c r="J131" s="6" t="n">
        <v>40.9</v>
      </c>
      <c r="K131" s="7" t="inlineStr">
        <is>
          <t>Cartão Nubank PF</t>
        </is>
      </c>
      <c r="L131" s="5" t="inlineStr">
        <is>
          <t>Normal PF</t>
        </is>
      </c>
      <c r="M131" s="9" t="inlineStr">
        <is>
          <t>Liquidado</t>
        </is>
      </c>
      <c r="N131" s="17" t="inlineStr">
        <is>
          <t>Música</t>
        </is>
      </c>
    </row>
    <row r="132">
      <c r="A132" s="9" t="n">
        <v>131</v>
      </c>
      <c r="B132" s="9" t="inlineStr">
        <is>
          <t>2026-09-13</t>
        </is>
      </c>
      <c r="C132" s="9" t="inlineStr">
        <is>
          <t>09/2026</t>
        </is>
      </c>
      <c r="D132" s="7" t="inlineStr">
        <is>
          <t>Cartão Nubank PF</t>
        </is>
      </c>
      <c r="E132" s="9" t="inlineStr">
        <is>
          <t>PF</t>
        </is>
      </c>
      <c r="F132" s="9" t="inlineStr">
        <is>
          <t>Despesa</t>
        </is>
      </c>
      <c r="G132" s="5" t="inlineStr">
        <is>
          <t>Alimentação</t>
        </is>
      </c>
      <c r="H132" s="7" t="inlineStr">
        <is>
          <t>Supermercados</t>
        </is>
      </c>
      <c r="I132" s="5" t="inlineStr">
        <is>
          <t>Supermercado Buritis</t>
        </is>
      </c>
      <c r="J132" s="6" t="n">
        <v>44.94</v>
      </c>
      <c r="K132" s="7" t="inlineStr">
        <is>
          <t>Cartão Nubank PF</t>
        </is>
      </c>
      <c r="L132" s="5" t="inlineStr">
        <is>
          <t>Normal PF</t>
        </is>
      </c>
      <c r="M132" s="9" t="inlineStr">
        <is>
          <t>Liquidado</t>
        </is>
      </c>
      <c r="N132" s="17" t="inlineStr">
        <is>
          <t>Mercado</t>
        </is>
      </c>
    </row>
    <row r="133">
      <c r="A133" s="9" t="n">
        <v>132</v>
      </c>
      <c r="B133" s="9" t="inlineStr">
        <is>
          <t>2026-09-14</t>
        </is>
      </c>
      <c r="C133" s="9" t="inlineStr">
        <is>
          <t>09/2026</t>
        </is>
      </c>
      <c r="D133" s="7" t="inlineStr">
        <is>
          <t>Cartão Nubank PF</t>
        </is>
      </c>
      <c r="E133" s="9" t="inlineStr">
        <is>
          <t>PF</t>
        </is>
      </c>
      <c r="F133" s="9" t="inlineStr">
        <is>
          <t>Despesa</t>
        </is>
      </c>
      <c r="G133" s="5" t="inlineStr">
        <is>
          <t>Compras &amp; Lazer</t>
        </is>
      </c>
      <c r="H133" s="7" t="inlineStr">
        <is>
          <t>Streaming / Assinaturas</t>
        </is>
      </c>
      <c r="I133" s="5" t="inlineStr">
        <is>
          <t>Paramount+</t>
        </is>
      </c>
      <c r="J133" s="6" t="n">
        <v>34.9</v>
      </c>
      <c r="K133" s="7" t="inlineStr">
        <is>
          <t>Cartão Nubank PF</t>
        </is>
      </c>
      <c r="L133" s="5" t="inlineStr">
        <is>
          <t>Normal PF</t>
        </is>
      </c>
      <c r="M133" s="9" t="inlineStr">
        <is>
          <t>Liquidado</t>
        </is>
      </c>
      <c r="N133" s="17" t="inlineStr">
        <is>
          <t>Streaming</t>
        </is>
      </c>
    </row>
    <row r="134">
      <c r="A134" s="9" t="n">
        <v>133</v>
      </c>
      <c r="B134" s="9" t="inlineStr">
        <is>
          <t>2026-09-14</t>
        </is>
      </c>
      <c r="C134" s="9" t="inlineStr">
        <is>
          <t>09/2026</t>
        </is>
      </c>
      <c r="D134" s="7" t="inlineStr">
        <is>
          <t>Cartão Nubank PF</t>
        </is>
      </c>
      <c r="E134" s="9" t="inlineStr">
        <is>
          <t>PF</t>
        </is>
      </c>
      <c r="F134" s="9" t="inlineStr">
        <is>
          <t>Despesa</t>
        </is>
      </c>
      <c r="G134" s="5" t="inlineStr">
        <is>
          <t>Alimentação</t>
        </is>
      </c>
      <c r="H134" s="7" t="inlineStr">
        <is>
          <t>Padaria / Lanches</t>
        </is>
      </c>
      <c r="I134" s="5" t="inlineStr">
        <is>
          <t>Dirceíagarcia</t>
        </is>
      </c>
      <c r="J134" s="6" t="n">
        <v>21</v>
      </c>
      <c r="K134" s="7" t="inlineStr">
        <is>
          <t>Cartão Nubank PF</t>
        </is>
      </c>
      <c r="L134" s="5" t="inlineStr">
        <is>
          <t>Normal PF</t>
        </is>
      </c>
      <c r="M134" s="9" t="inlineStr">
        <is>
          <t>Liquidado</t>
        </is>
      </c>
      <c r="N134" s="17" t="inlineStr">
        <is>
          <t>Alimentação</t>
        </is>
      </c>
    </row>
    <row r="135">
      <c r="A135" s="9" t="n">
        <v>134</v>
      </c>
      <c r="B135" s="9" t="inlineStr">
        <is>
          <t>2026-09-15</t>
        </is>
      </c>
      <c r="C135" s="9" t="inlineStr">
        <is>
          <t>09/2026</t>
        </is>
      </c>
      <c r="D135" s="7" t="inlineStr">
        <is>
          <t>Cartão Nubank PF</t>
        </is>
      </c>
      <c r="E135" s="9" t="inlineStr">
        <is>
          <t>PF</t>
        </is>
      </c>
      <c r="F135" s="9" t="inlineStr">
        <is>
          <t>Despesa</t>
        </is>
      </c>
      <c r="G135" s="5" t="inlineStr">
        <is>
          <t>Alimentação</t>
        </is>
      </c>
      <c r="H135" s="7" t="inlineStr">
        <is>
          <t>Supermercados</t>
        </is>
      </c>
      <c r="I135" s="5" t="inlineStr">
        <is>
          <t>Rodrigues Rodrigues Su</t>
        </is>
      </c>
      <c r="J135" s="6" t="n">
        <v>57.64</v>
      </c>
      <c r="K135" s="7" t="inlineStr">
        <is>
          <t>Cartão Nubank PF</t>
        </is>
      </c>
      <c r="L135" s="5" t="inlineStr">
        <is>
          <t>Normal PF</t>
        </is>
      </c>
      <c r="M135" s="9" t="inlineStr">
        <is>
          <t>Liquidado</t>
        </is>
      </c>
      <c r="N135" s="17" t="inlineStr">
        <is>
          <t>Mercado</t>
        </is>
      </c>
    </row>
    <row r="136">
      <c r="A136" s="9" t="n">
        <v>135</v>
      </c>
      <c r="B136" s="9" t="inlineStr">
        <is>
          <t>2026-09-15</t>
        </is>
      </c>
      <c r="C136" s="9" t="inlineStr">
        <is>
          <t>09/2026</t>
        </is>
      </c>
      <c r="D136" s="7" t="inlineStr">
        <is>
          <t>Cartão Nubank PF</t>
        </is>
      </c>
      <c r="E136" s="9" t="inlineStr">
        <is>
          <t>PF</t>
        </is>
      </c>
      <c r="F136" s="9" t="inlineStr">
        <is>
          <t>Despesa</t>
        </is>
      </c>
      <c r="G136" s="5" t="inlineStr">
        <is>
          <t>Alimentação</t>
        </is>
      </c>
      <c r="H136" s="7" t="inlineStr">
        <is>
          <t>Supermercados</t>
        </is>
      </c>
      <c r="I136" s="5" t="inlineStr">
        <is>
          <t>Supermercado Buritis</t>
        </is>
      </c>
      <c r="J136" s="6" t="n">
        <v>45.62</v>
      </c>
      <c r="K136" s="7" t="inlineStr">
        <is>
          <t>Cartão Nubank PF</t>
        </is>
      </c>
      <c r="L136" s="5" t="inlineStr">
        <is>
          <t>Normal PF</t>
        </is>
      </c>
      <c r="M136" s="9" t="inlineStr">
        <is>
          <t>Liquidado</t>
        </is>
      </c>
      <c r="N136" s="17" t="inlineStr">
        <is>
          <t>Mercado</t>
        </is>
      </c>
    </row>
    <row r="137">
      <c r="A137" s="9" t="n">
        <v>136</v>
      </c>
      <c r="B137" s="9" t="inlineStr">
        <is>
          <t>2026-09-15</t>
        </is>
      </c>
      <c r="C137" s="9" t="inlineStr">
        <is>
          <t>09/2026</t>
        </is>
      </c>
      <c r="D137" s="7" t="inlineStr">
        <is>
          <t>Cartão Nubank PF</t>
        </is>
      </c>
      <c r="E137" s="9" t="inlineStr">
        <is>
          <t>PF</t>
        </is>
      </c>
      <c r="F137" s="9" t="inlineStr">
        <is>
          <t>Despesa</t>
        </is>
      </c>
      <c r="G137" s="5" t="inlineStr">
        <is>
          <t>Educação (Benjamim)</t>
        </is>
      </c>
      <c r="H137" s="7" t="inlineStr">
        <is>
          <t>Material Escolar</t>
        </is>
      </c>
      <c r="I137" s="5" t="inlineStr">
        <is>
          <t>Papelaria Lapis de Cor</t>
        </is>
      </c>
      <c r="J137" s="6" t="n">
        <v>26.05</v>
      </c>
      <c r="K137" s="7" t="inlineStr">
        <is>
          <t>Cartão Nubank PF</t>
        </is>
      </c>
      <c r="L137" s="5" t="inlineStr">
        <is>
          <t>Normal PF</t>
        </is>
      </c>
      <c r="M137" s="9" t="inlineStr">
        <is>
          <t>Liquidado</t>
        </is>
      </c>
      <c r="N137" s="17" t="inlineStr">
        <is>
          <t>Material escolar</t>
        </is>
      </c>
    </row>
    <row r="138">
      <c r="A138" s="9" t="n">
        <v>137</v>
      </c>
      <c r="B138" s="9" t="inlineStr">
        <is>
          <t>2026-09-16</t>
        </is>
      </c>
      <c r="C138" s="9" t="inlineStr">
        <is>
          <t>09/2026</t>
        </is>
      </c>
      <c r="D138" s="7" t="inlineStr">
        <is>
          <t>Cartão Nubank PF</t>
        </is>
      </c>
      <c r="E138" s="9" t="inlineStr">
        <is>
          <t>PF</t>
        </is>
      </c>
      <c r="F138" s="9" t="inlineStr">
        <is>
          <t>Despesa</t>
        </is>
      </c>
      <c r="G138" s="5" t="inlineStr">
        <is>
          <t>Compras &amp; Lazer</t>
        </is>
      </c>
      <c r="H138" s="7" t="inlineStr">
        <is>
          <t>Casa &amp; Utilidades</t>
        </is>
      </c>
      <c r="I138" s="5" t="inlineStr">
        <is>
          <t>Bazar Paraiso</t>
        </is>
      </c>
      <c r="J138" s="6" t="n">
        <v>66.95</v>
      </c>
      <c r="K138" s="7" t="inlineStr">
        <is>
          <t>Cartão Nubank PF</t>
        </is>
      </c>
      <c r="L138" s="5" t="inlineStr">
        <is>
          <t>Normal PF</t>
        </is>
      </c>
      <c r="M138" s="9" t="inlineStr">
        <is>
          <t>Liquidado</t>
        </is>
      </c>
      <c r="N138" s="17" t="inlineStr">
        <is>
          <t>Utilidades domésticas</t>
        </is>
      </c>
    </row>
    <row r="139">
      <c r="A139" s="9" t="n">
        <v>138</v>
      </c>
      <c r="B139" s="9" t="inlineStr">
        <is>
          <t>2026-09-16</t>
        </is>
      </c>
      <c r="C139" s="9" t="inlineStr">
        <is>
          <t>09/2026</t>
        </is>
      </c>
      <c r="D139" s="7" t="inlineStr">
        <is>
          <t>Cartão Nubank PF</t>
        </is>
      </c>
      <c r="E139" s="9" t="inlineStr">
        <is>
          <t>PF</t>
        </is>
      </c>
      <c r="F139" s="9" t="inlineStr">
        <is>
          <t>Despesa</t>
        </is>
      </c>
      <c r="G139" s="5" t="inlineStr">
        <is>
          <t>Compras &amp; Lazer</t>
        </is>
      </c>
      <c r="H139" s="7" t="inlineStr">
        <is>
          <t>Casa &amp; Utilidades</t>
        </is>
      </c>
      <c r="I139" s="5" t="inlineStr">
        <is>
          <t>Jomar Tecidos</t>
        </is>
      </c>
      <c r="J139" s="6" t="n">
        <v>30.36</v>
      </c>
      <c r="K139" s="7" t="inlineStr">
        <is>
          <t>Cartão Nubank PF</t>
        </is>
      </c>
      <c r="L139" s="5" t="inlineStr">
        <is>
          <t>Normal PF</t>
        </is>
      </c>
      <c r="M139" s="9" t="inlineStr">
        <is>
          <t>Liquidado</t>
        </is>
      </c>
      <c r="N139" s="17" t="inlineStr">
        <is>
          <t>Tecidos / Casa</t>
        </is>
      </c>
    </row>
    <row r="140">
      <c r="A140" s="9" t="n">
        <v>139</v>
      </c>
      <c r="B140" s="9" t="inlineStr">
        <is>
          <t>2026-09-17</t>
        </is>
      </c>
      <c r="C140" s="9" t="inlineStr">
        <is>
          <t>09/2026</t>
        </is>
      </c>
      <c r="D140" s="7" t="inlineStr">
        <is>
          <t>Cartão Nubank PF</t>
        </is>
      </c>
      <c r="E140" s="9" t="inlineStr">
        <is>
          <t>PF</t>
        </is>
      </c>
      <c r="F140" s="9" t="inlineStr">
        <is>
          <t>Despesa</t>
        </is>
      </c>
      <c r="G140" s="5" t="inlineStr">
        <is>
          <t>Transporte &amp; Veículos</t>
        </is>
      </c>
      <c r="H140" s="7" t="inlineStr">
        <is>
          <t>Combustível</t>
        </is>
      </c>
      <c r="I140" s="5" t="inlineStr">
        <is>
          <t>Auto Posto Mariano</t>
        </is>
      </c>
      <c r="J140" s="6" t="n">
        <v>150</v>
      </c>
      <c r="K140" s="7" t="inlineStr">
        <is>
          <t>Cartão Nubank PF</t>
        </is>
      </c>
      <c r="L140" s="5" t="inlineStr">
        <is>
          <t>Normal PF</t>
        </is>
      </c>
      <c r="M140" s="9" t="inlineStr">
        <is>
          <t>Liquidado</t>
        </is>
      </c>
      <c r="N140" s="17" t="inlineStr">
        <is>
          <t>Abastecimento</t>
        </is>
      </c>
    </row>
    <row r="141">
      <c r="A141" s="9" t="n">
        <v>140</v>
      </c>
      <c r="B141" s="9" t="inlineStr">
        <is>
          <t>2026-09-17</t>
        </is>
      </c>
      <c r="C141" s="9" t="inlineStr">
        <is>
          <t>09/2026</t>
        </is>
      </c>
      <c r="D141" s="7" t="inlineStr">
        <is>
          <t>Cartão Nubank PF</t>
        </is>
      </c>
      <c r="E141" s="9" t="inlineStr">
        <is>
          <t>PF</t>
        </is>
      </c>
      <c r="F141" s="9" t="inlineStr">
        <is>
          <t>Despesa</t>
        </is>
      </c>
      <c r="G141" s="5" t="inlineStr">
        <is>
          <t>Educação (Benjamim)</t>
        </is>
      </c>
      <c r="H141" s="7" t="inlineStr">
        <is>
          <t>Lazer / Infantil</t>
        </is>
      </c>
      <c r="I141" s="5" t="inlineStr">
        <is>
          <t>Point da Molekada</t>
        </is>
      </c>
      <c r="J141" s="6" t="n">
        <v>99.87</v>
      </c>
      <c r="K141" s="7" t="inlineStr">
        <is>
          <t>Cartão Nubank PF</t>
        </is>
      </c>
      <c r="L141" s="5" t="inlineStr">
        <is>
          <t>Normal PF</t>
        </is>
      </c>
      <c r="M141" s="9" t="inlineStr">
        <is>
          <t>Liquidado</t>
        </is>
      </c>
      <c r="N141" s="17" t="inlineStr">
        <is>
          <t>Brinquedos / Infantil</t>
        </is>
      </c>
    </row>
    <row r="142">
      <c r="A142" s="9" t="n">
        <v>141</v>
      </c>
      <c r="B142" s="9" t="inlineStr">
        <is>
          <t>2026-09-17</t>
        </is>
      </c>
      <c r="C142" s="9" t="inlineStr">
        <is>
          <t>09/2026</t>
        </is>
      </c>
      <c r="D142" s="7" t="inlineStr">
        <is>
          <t>Cartão Nubank PF</t>
        </is>
      </c>
      <c r="E142" s="9" t="inlineStr">
        <is>
          <t>PF</t>
        </is>
      </c>
      <c r="F142" s="9" t="inlineStr">
        <is>
          <t>Despesa</t>
        </is>
      </c>
      <c r="G142" s="5" t="inlineStr">
        <is>
          <t>Alimentação</t>
        </is>
      </c>
      <c r="H142" s="7" t="inlineStr">
        <is>
          <t>Restaurantes &amp; Lanches</t>
        </is>
      </c>
      <c r="I142" s="5" t="inlineStr">
        <is>
          <t>Pg *Cantina do Bila</t>
        </is>
      </c>
      <c r="J142" s="6" t="n">
        <v>53</v>
      </c>
      <c r="K142" s="7" t="inlineStr">
        <is>
          <t>Cartão Nubank PF</t>
        </is>
      </c>
      <c r="L142" s="5" t="inlineStr">
        <is>
          <t>Normal PF</t>
        </is>
      </c>
      <c r="M142" s="9" t="inlineStr">
        <is>
          <t>Liquidado</t>
        </is>
      </c>
      <c r="N142" s="17" t="inlineStr">
        <is>
          <t>Refeição</t>
        </is>
      </c>
    </row>
    <row r="143">
      <c r="A143" s="9" t="n">
        <v>142</v>
      </c>
      <c r="B143" s="9" t="inlineStr">
        <is>
          <t>2026-09-17</t>
        </is>
      </c>
      <c r="C143" s="9" t="inlineStr">
        <is>
          <t>09/2026</t>
        </is>
      </c>
      <c r="D143" s="7" t="inlineStr">
        <is>
          <t>Cartão Nubank PF</t>
        </is>
      </c>
      <c r="E143" s="9" t="inlineStr">
        <is>
          <t>PF</t>
        </is>
      </c>
      <c r="F143" s="9" t="inlineStr">
        <is>
          <t>Despesa</t>
        </is>
      </c>
      <c r="G143" s="5" t="inlineStr">
        <is>
          <t>Compras &amp; Lazer</t>
        </is>
      </c>
      <c r="H143" s="7" t="inlineStr">
        <is>
          <t>Casa &amp; Utilidades</t>
        </is>
      </c>
      <c r="I143" s="5" t="inlineStr">
        <is>
          <t>Bazar Paraiso</t>
        </is>
      </c>
      <c r="J143" s="6" t="n">
        <v>50</v>
      </c>
      <c r="K143" s="7" t="inlineStr">
        <is>
          <t>Cartão Nubank PF</t>
        </is>
      </c>
      <c r="L143" s="5" t="inlineStr">
        <is>
          <t>Normal PF</t>
        </is>
      </c>
      <c r="M143" s="9" t="inlineStr">
        <is>
          <t>Liquidado</t>
        </is>
      </c>
      <c r="N143" s="17" t="inlineStr">
        <is>
          <t>Utilidades</t>
        </is>
      </c>
    </row>
    <row r="144">
      <c r="A144" s="9" t="n">
        <v>143</v>
      </c>
      <c r="B144" s="9" t="inlineStr">
        <is>
          <t>2026-09-18</t>
        </is>
      </c>
      <c r="C144" s="9" t="inlineStr">
        <is>
          <t>09/2026</t>
        </is>
      </c>
      <c r="D144" s="7" t="inlineStr">
        <is>
          <t>Cartão Nubank PF</t>
        </is>
      </c>
      <c r="E144" s="9" t="inlineStr">
        <is>
          <t>PF</t>
        </is>
      </c>
      <c r="F144" s="9" t="inlineStr">
        <is>
          <t>Despesa</t>
        </is>
      </c>
      <c r="G144" s="5" t="inlineStr">
        <is>
          <t>Alimentação</t>
        </is>
      </c>
      <c r="H144" s="7" t="inlineStr">
        <is>
          <t>Supermercados</t>
        </is>
      </c>
      <c r="I144" s="5" t="inlineStr">
        <is>
          <t>Supermercado Buritis</t>
        </is>
      </c>
      <c r="J144" s="6" t="n">
        <v>91.36</v>
      </c>
      <c r="K144" s="7" t="inlineStr">
        <is>
          <t>Cartão Nubank PF</t>
        </is>
      </c>
      <c r="L144" s="5" t="inlineStr">
        <is>
          <t>Normal PF</t>
        </is>
      </c>
      <c r="M144" s="9" t="inlineStr">
        <is>
          <t>Liquidado</t>
        </is>
      </c>
      <c r="N144" s="17" t="inlineStr">
        <is>
          <t>Mercado</t>
        </is>
      </c>
    </row>
    <row r="145">
      <c r="A145" s="9" t="n">
        <v>144</v>
      </c>
      <c r="B145" s="9" t="inlineStr">
        <is>
          <t>2026-09-19</t>
        </is>
      </c>
      <c r="C145" s="9" t="inlineStr">
        <is>
          <t>09/2026</t>
        </is>
      </c>
      <c r="D145" s="7" t="inlineStr">
        <is>
          <t>Cartão Nubank PF</t>
        </is>
      </c>
      <c r="E145" s="9" t="inlineStr">
        <is>
          <t>PF</t>
        </is>
      </c>
      <c r="F145" s="9" t="inlineStr">
        <is>
          <t>Despesa</t>
        </is>
      </c>
      <c r="G145" s="5" t="inlineStr">
        <is>
          <t>Alimentação</t>
        </is>
      </c>
      <c r="H145" s="7" t="inlineStr">
        <is>
          <t>Restaurantes &amp; Lanches</t>
        </is>
      </c>
      <c r="I145" s="5" t="inlineStr">
        <is>
          <t>El Ternazo Buritis</t>
        </is>
      </c>
      <c r="J145" s="6" t="n">
        <v>228.79</v>
      </c>
      <c r="K145" s="7" t="inlineStr">
        <is>
          <t>Cartão Nubank PF</t>
        </is>
      </c>
      <c r="L145" s="5" t="inlineStr">
        <is>
          <t>Normal PF</t>
        </is>
      </c>
      <c r="M145" s="9" t="inlineStr">
        <is>
          <t>Liquidado</t>
        </is>
      </c>
      <c r="N145" s="17" t="inlineStr">
        <is>
          <t>Churrascaria / Restaurante</t>
        </is>
      </c>
    </row>
    <row r="146">
      <c r="A146" s="9" t="n">
        <v>145</v>
      </c>
      <c r="B146" s="9" t="inlineStr">
        <is>
          <t>2026-09-19</t>
        </is>
      </c>
      <c r="C146" s="9" t="inlineStr">
        <is>
          <t>09/2026</t>
        </is>
      </c>
      <c r="D146" s="7" t="inlineStr">
        <is>
          <t>Cartão Nubank PF</t>
        </is>
      </c>
      <c r="E146" s="9" t="inlineStr">
        <is>
          <t>PF</t>
        </is>
      </c>
      <c r="F146" s="9" t="inlineStr">
        <is>
          <t>Despesa</t>
        </is>
      </c>
      <c r="G146" s="5" t="inlineStr">
        <is>
          <t>Alimentação</t>
        </is>
      </c>
      <c r="H146" s="7" t="inlineStr">
        <is>
          <t>Supermercados</t>
        </is>
      </c>
      <c r="I146" s="5" t="inlineStr">
        <is>
          <t>Supermercado Buritis</t>
        </is>
      </c>
      <c r="J146" s="6" t="n">
        <v>29.37</v>
      </c>
      <c r="K146" s="7" t="inlineStr">
        <is>
          <t>Cartão Nubank PF</t>
        </is>
      </c>
      <c r="L146" s="5" t="inlineStr">
        <is>
          <t>Normal PF</t>
        </is>
      </c>
      <c r="M146" s="9" t="inlineStr">
        <is>
          <t>Liquidado</t>
        </is>
      </c>
      <c r="N146" s="17" t="inlineStr">
        <is>
          <t>Mercado</t>
        </is>
      </c>
    </row>
    <row r="147">
      <c r="A147" s="9" t="n">
        <v>146</v>
      </c>
      <c r="B147" s="9" t="inlineStr">
        <is>
          <t>2026-09-19</t>
        </is>
      </c>
      <c r="C147" s="9" t="inlineStr">
        <is>
          <t>09/2026</t>
        </is>
      </c>
      <c r="D147" s="7" t="inlineStr">
        <is>
          <t>Cartão Nubank PF</t>
        </is>
      </c>
      <c r="E147" s="9" t="inlineStr">
        <is>
          <t>PF</t>
        </is>
      </c>
      <c r="F147" s="9" t="inlineStr">
        <is>
          <t>Despesa</t>
        </is>
      </c>
      <c r="G147" s="5" t="inlineStr">
        <is>
          <t>Alimentação</t>
        </is>
      </c>
      <c r="H147" s="7" t="inlineStr">
        <is>
          <t>Padaria / Lanches</t>
        </is>
      </c>
      <c r="I147" s="5" t="inlineStr">
        <is>
          <t>Mp *Pastelzinho</t>
        </is>
      </c>
      <c r="J147" s="6" t="n">
        <v>28</v>
      </c>
      <c r="K147" s="7" t="inlineStr">
        <is>
          <t>Cartão Nubank PF</t>
        </is>
      </c>
      <c r="L147" s="5" t="inlineStr">
        <is>
          <t>Normal PF</t>
        </is>
      </c>
      <c r="M147" s="9" t="inlineStr">
        <is>
          <t>Liquidado</t>
        </is>
      </c>
      <c r="N147" s="17" t="inlineStr">
        <is>
          <t>Lanches</t>
        </is>
      </c>
    </row>
    <row r="148">
      <c r="A148" s="9" t="n">
        <v>147</v>
      </c>
      <c r="B148" s="9" t="inlineStr">
        <is>
          <t>2026-09-20</t>
        </is>
      </c>
      <c r="C148" s="9" t="inlineStr">
        <is>
          <t>09/2026</t>
        </is>
      </c>
      <c r="D148" s="7" t="inlineStr">
        <is>
          <t>Cartão Nubank PF</t>
        </is>
      </c>
      <c r="E148" s="9" t="inlineStr">
        <is>
          <t>PF</t>
        </is>
      </c>
      <c r="F148" s="9" t="inlineStr">
        <is>
          <t>Despesa</t>
        </is>
      </c>
      <c r="G148" s="5" t="inlineStr">
        <is>
          <t>Alimentação</t>
        </is>
      </c>
      <c r="H148" s="7" t="inlineStr">
        <is>
          <t>Restaurantes &amp; Lanches</t>
        </is>
      </c>
      <c r="I148" s="5" t="inlineStr">
        <is>
          <t>Restaurante Bom Apetit</t>
        </is>
      </c>
      <c r="J148" s="6" t="n">
        <v>82.5</v>
      </c>
      <c r="K148" s="7" t="inlineStr">
        <is>
          <t>Cartão Nubank PF</t>
        </is>
      </c>
      <c r="L148" s="5" t="inlineStr">
        <is>
          <t>Normal PF</t>
        </is>
      </c>
      <c r="M148" s="9" t="inlineStr">
        <is>
          <t>Liquidado</t>
        </is>
      </c>
      <c r="N148" s="17" t="inlineStr">
        <is>
          <t>Almoço domingo</t>
        </is>
      </c>
    </row>
    <row r="149">
      <c r="A149" s="9" t="n">
        <v>148</v>
      </c>
      <c r="B149" s="9" t="inlineStr">
        <is>
          <t>2026-09-20</t>
        </is>
      </c>
      <c r="C149" s="9" t="inlineStr">
        <is>
          <t>09/2026</t>
        </is>
      </c>
      <c r="D149" s="7" t="inlineStr">
        <is>
          <t>Cartão Nubank PF</t>
        </is>
      </c>
      <c r="E149" s="9" t="inlineStr">
        <is>
          <t>PF</t>
        </is>
      </c>
      <c r="F149" s="9" t="inlineStr">
        <is>
          <t>Despesa</t>
        </is>
      </c>
      <c r="G149" s="5" t="inlineStr">
        <is>
          <t>Alimentação</t>
        </is>
      </c>
      <c r="H149" s="7" t="inlineStr">
        <is>
          <t>Restaurantes &amp; Lanches</t>
        </is>
      </c>
      <c r="I149" s="5" t="inlineStr">
        <is>
          <t>Mp *Tilaineebotta</t>
        </is>
      </c>
      <c r="J149" s="6" t="n">
        <v>50</v>
      </c>
      <c r="K149" s="7" t="inlineStr">
        <is>
          <t>Cartão Nubank PF</t>
        </is>
      </c>
      <c r="L149" s="5" t="inlineStr">
        <is>
          <t>Normal PF</t>
        </is>
      </c>
      <c r="M149" s="9" t="inlineStr">
        <is>
          <t>Liquidado</t>
        </is>
      </c>
      <c r="N149" s="17" t="inlineStr">
        <is>
          <t>Lanches</t>
        </is>
      </c>
    </row>
    <row r="150">
      <c r="A150" s="9" t="n">
        <v>149</v>
      </c>
      <c r="B150" s="9" t="inlineStr">
        <is>
          <t>2026-09-20</t>
        </is>
      </c>
      <c r="C150" s="9" t="inlineStr">
        <is>
          <t>09/2026</t>
        </is>
      </c>
      <c r="D150" s="7" t="inlineStr">
        <is>
          <t>Cartão Nubank PF</t>
        </is>
      </c>
      <c r="E150" s="9" t="inlineStr">
        <is>
          <t>PF</t>
        </is>
      </c>
      <c r="F150" s="9" t="inlineStr">
        <is>
          <t>Despesa</t>
        </is>
      </c>
      <c r="G150" s="5" t="inlineStr">
        <is>
          <t>Alimentação</t>
        </is>
      </c>
      <c r="H150" s="7" t="inlineStr">
        <is>
          <t>Restaurantes &amp; Lanches</t>
        </is>
      </c>
      <c r="I150" s="5" t="inlineStr">
        <is>
          <t>Ice Bom Sorvetes</t>
        </is>
      </c>
      <c r="J150" s="6" t="n">
        <v>44.4</v>
      </c>
      <c r="K150" s="7" t="inlineStr">
        <is>
          <t>Cartão Nubank PF</t>
        </is>
      </c>
      <c r="L150" s="5" t="inlineStr">
        <is>
          <t>Normal PF</t>
        </is>
      </c>
      <c r="M150" s="9" t="inlineStr">
        <is>
          <t>Liquidado</t>
        </is>
      </c>
      <c r="N150" s="17" t="inlineStr">
        <is>
          <t>Sorveteria</t>
        </is>
      </c>
    </row>
    <row r="151">
      <c r="A151" s="9" t="n">
        <v>150</v>
      </c>
      <c r="B151" s="9" t="inlineStr">
        <is>
          <t>2026-09-20</t>
        </is>
      </c>
      <c r="C151" s="9" t="inlineStr">
        <is>
          <t>09/2026</t>
        </is>
      </c>
      <c r="D151" s="7" t="inlineStr">
        <is>
          <t>Cartão Nubank PF</t>
        </is>
      </c>
      <c r="E151" s="9" t="inlineStr">
        <is>
          <t>PF</t>
        </is>
      </c>
      <c r="F151" s="9" t="inlineStr">
        <is>
          <t>Despesa</t>
        </is>
      </c>
      <c r="G151" s="5" t="inlineStr">
        <is>
          <t>Alimentação</t>
        </is>
      </c>
      <c r="H151" s="7" t="inlineStr">
        <is>
          <t>Padaria / Lanches</t>
        </is>
      </c>
      <c r="I151" s="5" t="inlineStr">
        <is>
          <t>Pastel do Cardoso</t>
        </is>
      </c>
      <c r="J151" s="6" t="n">
        <v>14</v>
      </c>
      <c r="K151" s="7" t="inlineStr">
        <is>
          <t>Cartão Nubank PF</t>
        </is>
      </c>
      <c r="L151" s="5" t="inlineStr">
        <is>
          <t>Normal PF</t>
        </is>
      </c>
      <c r="M151" s="9" t="inlineStr">
        <is>
          <t>Liquidado</t>
        </is>
      </c>
      <c r="N151" s="17" t="inlineStr">
        <is>
          <t>Lanche</t>
        </is>
      </c>
    </row>
    <row r="152">
      <c r="A152" s="9" t="n">
        <v>151</v>
      </c>
      <c r="B152" s="9" t="inlineStr">
        <is>
          <t>2026-09-21</t>
        </is>
      </c>
      <c r="C152" s="9" t="inlineStr">
        <is>
          <t>09/2026</t>
        </is>
      </c>
      <c r="D152" s="7" t="inlineStr">
        <is>
          <t>Cartão Nubank PF</t>
        </is>
      </c>
      <c r="E152" s="9" t="inlineStr">
        <is>
          <t>PF</t>
        </is>
      </c>
      <c r="F152" s="9" t="inlineStr">
        <is>
          <t>Despesa</t>
        </is>
      </c>
      <c r="G152" s="5" t="inlineStr">
        <is>
          <t>Alimentação</t>
        </is>
      </c>
      <c r="H152" s="7" t="inlineStr">
        <is>
          <t>Supermercados</t>
        </is>
      </c>
      <c r="I152" s="5" t="inlineStr">
        <is>
          <t>Supermercado Buritis</t>
        </is>
      </c>
      <c r="J152" s="6" t="n">
        <v>137.25</v>
      </c>
      <c r="K152" s="7" t="inlineStr">
        <is>
          <t>Cartão Nubank PF</t>
        </is>
      </c>
      <c r="L152" s="5" t="inlineStr">
        <is>
          <t>Normal PF</t>
        </is>
      </c>
      <c r="M152" s="9" t="inlineStr">
        <is>
          <t>Liquidado</t>
        </is>
      </c>
      <c r="N152" s="17" t="inlineStr">
        <is>
          <t>Mercado</t>
        </is>
      </c>
    </row>
    <row r="153">
      <c r="A153" s="9" t="n">
        <v>152</v>
      </c>
      <c r="B153" s="9" t="inlineStr">
        <is>
          <t>2026-09-21</t>
        </is>
      </c>
      <c r="C153" s="9" t="inlineStr">
        <is>
          <t>09/2026</t>
        </is>
      </c>
      <c r="D153" s="7" t="inlineStr">
        <is>
          <t>Cartão Nubank PF</t>
        </is>
      </c>
      <c r="E153" s="9" t="inlineStr">
        <is>
          <t>PF</t>
        </is>
      </c>
      <c r="F153" s="9" t="inlineStr">
        <is>
          <t>Despesa</t>
        </is>
      </c>
      <c r="G153" s="5" t="inlineStr">
        <is>
          <t>Alimentação</t>
        </is>
      </c>
      <c r="H153" s="7" t="inlineStr">
        <is>
          <t>Restaurantes &amp; Lanches</t>
        </is>
      </c>
      <c r="I153" s="5" t="inlineStr">
        <is>
          <t>Habib's</t>
        </is>
      </c>
      <c r="J153" s="6" t="n">
        <v>116.6</v>
      </c>
      <c r="K153" s="7" t="inlineStr">
        <is>
          <t>Cartão Nubank PF</t>
        </is>
      </c>
      <c r="L153" s="5" t="inlineStr">
        <is>
          <t>Normal PF</t>
        </is>
      </c>
      <c r="M153" s="9" t="inlineStr">
        <is>
          <t>Liquidado</t>
        </is>
      </c>
      <c r="N153" s="17" t="inlineStr">
        <is>
          <t>Refeição</t>
        </is>
      </c>
    </row>
    <row r="154">
      <c r="A154" s="9" t="n">
        <v>153</v>
      </c>
      <c r="B154" s="9" t="inlineStr">
        <is>
          <t>2026-09-22</t>
        </is>
      </c>
      <c r="C154" s="9" t="inlineStr">
        <is>
          <t>09/2026</t>
        </is>
      </c>
      <c r="D154" s="7" t="inlineStr">
        <is>
          <t>Cartão Nubank PF</t>
        </is>
      </c>
      <c r="E154" s="9" t="inlineStr">
        <is>
          <t>PF</t>
        </is>
      </c>
      <c r="F154" s="9" t="inlineStr">
        <is>
          <t>Despesa</t>
        </is>
      </c>
      <c r="G154" s="5" t="inlineStr">
        <is>
          <t>Compras &amp; Lazer</t>
        </is>
      </c>
      <c r="H154" s="7" t="inlineStr">
        <is>
          <t>Compras Online</t>
        </is>
      </c>
      <c r="I154" s="5" t="inlineStr">
        <is>
          <t>Amazon Br *Amazon</t>
        </is>
      </c>
      <c r="J154" s="6" t="n">
        <v>89.7</v>
      </c>
      <c r="K154" s="7" t="inlineStr">
        <is>
          <t>Cartão Nubank PF</t>
        </is>
      </c>
      <c r="L154" s="5" t="inlineStr">
        <is>
          <t>Normal PF</t>
        </is>
      </c>
      <c r="M154" s="9" t="inlineStr">
        <is>
          <t>Liquidado</t>
        </is>
      </c>
      <c r="N154" s="17" t="inlineStr">
        <is>
          <t>Compra Amazon</t>
        </is>
      </c>
    </row>
    <row r="155">
      <c r="A155" s="9" t="n">
        <v>154</v>
      </c>
      <c r="B155" s="9" t="inlineStr">
        <is>
          <t>2026-09-22</t>
        </is>
      </c>
      <c r="C155" s="9" t="inlineStr">
        <is>
          <t>09/2026</t>
        </is>
      </c>
      <c r="D155" s="7" t="inlineStr">
        <is>
          <t>Cartão Nubank PF</t>
        </is>
      </c>
      <c r="E155" s="9" t="inlineStr">
        <is>
          <t>PF</t>
        </is>
      </c>
      <c r="F155" s="9" t="inlineStr">
        <is>
          <t>Despesa</t>
        </is>
      </c>
      <c r="G155" s="5" t="inlineStr">
        <is>
          <t>Alimentação</t>
        </is>
      </c>
      <c r="H155" s="7" t="inlineStr">
        <is>
          <t>Supermercados</t>
        </is>
      </c>
      <c r="I155" s="5" t="inlineStr">
        <is>
          <t>Rodrigues Rodrigues Su</t>
        </is>
      </c>
      <c r="J155" s="6" t="n">
        <v>64.11</v>
      </c>
      <c r="K155" s="7" t="inlineStr">
        <is>
          <t>Cartão Nubank PF</t>
        </is>
      </c>
      <c r="L155" s="5" t="inlineStr">
        <is>
          <t>Normal PF</t>
        </is>
      </c>
      <c r="M155" s="9" t="inlineStr">
        <is>
          <t>Liquidado</t>
        </is>
      </c>
      <c r="N155" s="17" t="inlineStr">
        <is>
          <t>Mercado</t>
        </is>
      </c>
    </row>
    <row r="156">
      <c r="A156" s="9" t="n">
        <v>155</v>
      </c>
      <c r="B156" s="9" t="inlineStr">
        <is>
          <t>2026-09-22</t>
        </is>
      </c>
      <c r="C156" s="9" t="inlineStr">
        <is>
          <t>09/2026</t>
        </is>
      </c>
      <c r="D156" s="7" t="inlineStr">
        <is>
          <t>Cartão Nubank PF</t>
        </is>
      </c>
      <c r="E156" s="9" t="inlineStr">
        <is>
          <t>PF</t>
        </is>
      </c>
      <c r="F156" s="9" t="inlineStr">
        <is>
          <t>Despesa</t>
        </is>
      </c>
      <c r="G156" s="5" t="inlineStr">
        <is>
          <t>Compras &amp; Lazer</t>
        </is>
      </c>
      <c r="H156" s="7" t="inlineStr">
        <is>
          <t>Pets / Agropecuária</t>
        </is>
      </c>
      <c r="I156" s="5" t="inlineStr">
        <is>
          <t>Agro Sta Edwiges</t>
        </is>
      </c>
      <c r="J156" s="6" t="n">
        <v>34.8</v>
      </c>
      <c r="K156" s="7" t="inlineStr">
        <is>
          <t>Cartão Nubank PF</t>
        </is>
      </c>
      <c r="L156" s="5" t="inlineStr">
        <is>
          <t>Normal PF</t>
        </is>
      </c>
      <c r="M156" s="9" t="inlineStr">
        <is>
          <t>Liquidado</t>
        </is>
      </c>
      <c r="N156" s="17" t="inlineStr">
        <is>
          <t>Rações / Animais</t>
        </is>
      </c>
    </row>
    <row r="157">
      <c r="A157" s="9" t="n">
        <v>156</v>
      </c>
      <c r="B157" s="9" t="inlineStr">
        <is>
          <t>2026-09-22</t>
        </is>
      </c>
      <c r="C157" s="9" t="inlineStr">
        <is>
          <t>09/2026</t>
        </is>
      </c>
      <c r="D157" s="7" t="inlineStr">
        <is>
          <t>Cartão Nubank PF</t>
        </is>
      </c>
      <c r="E157" s="9" t="inlineStr">
        <is>
          <t>PF</t>
        </is>
      </c>
      <c r="F157" s="9" t="inlineStr">
        <is>
          <t>Despesa</t>
        </is>
      </c>
      <c r="G157" s="5" t="inlineStr">
        <is>
          <t>Alimentação</t>
        </is>
      </c>
      <c r="H157" s="7" t="inlineStr">
        <is>
          <t>Padaria / Lanches</t>
        </is>
      </c>
      <c r="I157" s="5" t="inlineStr">
        <is>
          <t>Mp *Pastelzinho</t>
        </is>
      </c>
      <c r="J157" s="6" t="n">
        <v>28</v>
      </c>
      <c r="K157" s="7" t="inlineStr">
        <is>
          <t>Cartão Nubank PF</t>
        </is>
      </c>
      <c r="L157" s="5" t="inlineStr">
        <is>
          <t>Normal PF</t>
        </is>
      </c>
      <c r="M157" s="9" t="inlineStr">
        <is>
          <t>Liquidado</t>
        </is>
      </c>
      <c r="N157" s="17" t="inlineStr">
        <is>
          <t>Lanche</t>
        </is>
      </c>
    </row>
    <row r="158">
      <c r="A158" s="9" t="n">
        <v>157</v>
      </c>
      <c r="B158" s="9" t="inlineStr">
        <is>
          <t>2026-09-22</t>
        </is>
      </c>
      <c r="C158" s="9" t="inlineStr">
        <is>
          <t>09/2026</t>
        </is>
      </c>
      <c r="D158" s="7" t="inlineStr">
        <is>
          <t>Cartão Nubank PF</t>
        </is>
      </c>
      <c r="E158" s="9" t="inlineStr">
        <is>
          <t>PF</t>
        </is>
      </c>
      <c r="F158" s="9" t="inlineStr">
        <is>
          <t>Despesa</t>
        </is>
      </c>
      <c r="G158" s="5" t="inlineStr">
        <is>
          <t>Compras &amp; Lazer</t>
        </is>
      </c>
      <c r="H158" s="7" t="inlineStr">
        <is>
          <t>Streaming / Assinaturas</t>
        </is>
      </c>
      <c r="I158" s="5" t="inlineStr">
        <is>
          <t>Amazonprimebr</t>
        </is>
      </c>
      <c r="J158" s="6" t="n">
        <v>19.9</v>
      </c>
      <c r="K158" s="7" t="inlineStr">
        <is>
          <t>Cartão Nubank PF</t>
        </is>
      </c>
      <c r="L158" s="5" t="inlineStr">
        <is>
          <t>Normal PF</t>
        </is>
      </c>
      <c r="M158" s="9" t="inlineStr">
        <is>
          <t>Liquidado</t>
        </is>
      </c>
      <c r="N158" s="17" t="inlineStr">
        <is>
          <t>Prime mensal</t>
        </is>
      </c>
    </row>
    <row r="159">
      <c r="A159" s="9" t="n">
        <v>158</v>
      </c>
      <c r="B159" s="9" t="inlineStr">
        <is>
          <t>2026-09-23</t>
        </is>
      </c>
      <c r="C159" s="9" t="inlineStr">
        <is>
          <t>09/2026</t>
        </is>
      </c>
      <c r="D159" s="7" t="inlineStr">
        <is>
          <t>Cartão Nubank PF</t>
        </is>
      </c>
      <c r="E159" s="9" t="inlineStr">
        <is>
          <t>PF</t>
        </is>
      </c>
      <c r="F159" s="9" t="inlineStr">
        <is>
          <t>Despesa</t>
        </is>
      </c>
      <c r="G159" s="5" t="inlineStr">
        <is>
          <t>Compras &amp; Lazer</t>
        </is>
      </c>
      <c r="H159" s="7" t="inlineStr">
        <is>
          <t>Vestuário / Calçados</t>
        </is>
      </c>
      <c r="I159" s="5" t="inlineStr">
        <is>
          <t>Dafiti *4607571793</t>
        </is>
      </c>
      <c r="J159" s="6" t="n">
        <v>203.62</v>
      </c>
      <c r="K159" s="7" t="inlineStr">
        <is>
          <t>Cartão Nubank PF</t>
        </is>
      </c>
      <c r="L159" s="5" t="inlineStr">
        <is>
          <t>Normal PF</t>
        </is>
      </c>
      <c r="M159" s="9" t="inlineStr">
        <is>
          <t>Liquidado</t>
        </is>
      </c>
      <c r="N159" s="17" t="inlineStr">
        <is>
          <t>Vestuário</t>
        </is>
      </c>
    </row>
    <row r="160">
      <c r="A160" s="9" t="n">
        <v>159</v>
      </c>
      <c r="B160" s="9" t="inlineStr">
        <is>
          <t>2026-09-23</t>
        </is>
      </c>
      <c r="C160" s="9" t="inlineStr">
        <is>
          <t>09/2026</t>
        </is>
      </c>
      <c r="D160" s="7" t="inlineStr">
        <is>
          <t>Cartão Nubank PF</t>
        </is>
      </c>
      <c r="E160" s="9" t="inlineStr">
        <is>
          <t>PF</t>
        </is>
      </c>
      <c r="F160" s="9" t="inlineStr">
        <is>
          <t>Despesa</t>
        </is>
      </c>
      <c r="G160" s="5" t="inlineStr">
        <is>
          <t>Transporte &amp; Veículos</t>
        </is>
      </c>
      <c r="H160" s="7" t="inlineStr">
        <is>
          <t>Combustível</t>
        </is>
      </c>
      <c r="I160" s="5" t="inlineStr">
        <is>
          <t>Auto Posto Mariano</t>
        </is>
      </c>
      <c r="J160" s="6" t="n">
        <v>150</v>
      </c>
      <c r="K160" s="7" t="inlineStr">
        <is>
          <t>Cartão Nubank PF</t>
        </is>
      </c>
      <c r="L160" s="5" t="inlineStr">
        <is>
          <t>Normal PF</t>
        </is>
      </c>
      <c r="M160" s="9" t="inlineStr">
        <is>
          <t>Liquidado</t>
        </is>
      </c>
      <c r="N160" s="17" t="inlineStr">
        <is>
          <t>Abastecimento</t>
        </is>
      </c>
    </row>
    <row r="161">
      <c r="A161" s="9" t="n">
        <v>160</v>
      </c>
      <c r="B161" s="9" t="inlineStr">
        <is>
          <t>2026-09-23</t>
        </is>
      </c>
      <c r="C161" s="9" t="inlineStr">
        <is>
          <t>09/2026</t>
        </is>
      </c>
      <c r="D161" s="7" t="inlineStr">
        <is>
          <t>Cartão Nubank PF</t>
        </is>
      </c>
      <c r="E161" s="9" t="inlineStr">
        <is>
          <t>PF</t>
        </is>
      </c>
      <c r="F161" s="9" t="inlineStr">
        <is>
          <t>Despesa</t>
        </is>
      </c>
      <c r="G161" s="5" t="inlineStr">
        <is>
          <t>Compras &amp; Lazer</t>
        </is>
      </c>
      <c r="H161" s="7" t="inlineStr">
        <is>
          <t>Compras Online</t>
        </is>
      </c>
      <c r="I161" s="5" t="inlineStr">
        <is>
          <t>Amazonmktplc *Fkcomerci</t>
        </is>
      </c>
      <c r="J161" s="6" t="n">
        <v>44.91</v>
      </c>
      <c r="K161" s="7" t="inlineStr">
        <is>
          <t>Cartão Nubank PF</t>
        </is>
      </c>
      <c r="L161" s="5" t="inlineStr">
        <is>
          <t>Normal PF</t>
        </is>
      </c>
      <c r="M161" s="9" t="inlineStr">
        <is>
          <t>Liquidado</t>
        </is>
      </c>
      <c r="N161" s="17" t="inlineStr">
        <is>
          <t>Compra Amazon</t>
        </is>
      </c>
    </row>
    <row r="162">
      <c r="A162" s="9" t="n">
        <v>161</v>
      </c>
      <c r="B162" s="9" t="inlineStr">
        <is>
          <t>2026-09-24</t>
        </is>
      </c>
      <c r="C162" s="9" t="inlineStr">
        <is>
          <t>09/2026</t>
        </is>
      </c>
      <c r="D162" s="7" t="inlineStr">
        <is>
          <t>Cartão Nubank PF</t>
        </is>
      </c>
      <c r="E162" s="9" t="inlineStr">
        <is>
          <t>PF</t>
        </is>
      </c>
      <c r="F162" s="9" t="inlineStr">
        <is>
          <t>Despesa</t>
        </is>
      </c>
      <c r="G162" s="5" t="inlineStr">
        <is>
          <t>Educação (Benjamim)</t>
        </is>
      </c>
      <c r="H162" s="7" t="inlineStr">
        <is>
          <t>Lazer / Infantil</t>
        </is>
      </c>
      <c r="I162" s="5" t="inlineStr">
        <is>
          <t>Point da Molekada</t>
        </is>
      </c>
      <c r="J162" s="6" t="n">
        <v>104.9</v>
      </c>
      <c r="K162" s="7" t="inlineStr">
        <is>
          <t>Cartão Nubank PF</t>
        </is>
      </c>
      <c r="L162" s="5" t="inlineStr">
        <is>
          <t>Normal PF</t>
        </is>
      </c>
      <c r="M162" s="9" t="inlineStr">
        <is>
          <t>Liquidado</t>
        </is>
      </c>
      <c r="N162" s="17" t="inlineStr">
        <is>
          <t>Brinquedos / Infantil</t>
        </is>
      </c>
    </row>
    <row r="163">
      <c r="A163" s="9" t="n">
        <v>162</v>
      </c>
      <c r="B163" s="9" t="inlineStr">
        <is>
          <t>2026-09-24</t>
        </is>
      </c>
      <c r="C163" s="9" t="inlineStr">
        <is>
          <t>09/2026</t>
        </is>
      </c>
      <c r="D163" s="7" t="inlineStr">
        <is>
          <t>Cartão Nubank PF</t>
        </is>
      </c>
      <c r="E163" s="9" t="inlineStr">
        <is>
          <t>PF</t>
        </is>
      </c>
      <c r="F163" s="9" t="inlineStr">
        <is>
          <t>Despesa</t>
        </is>
      </c>
      <c r="G163" s="5" t="inlineStr">
        <is>
          <t>Alimentação</t>
        </is>
      </c>
      <c r="H163" s="7" t="inlineStr">
        <is>
          <t>Supermercados</t>
        </is>
      </c>
      <c r="I163" s="5" t="inlineStr">
        <is>
          <t>Supermercado Buritis</t>
        </is>
      </c>
      <c r="J163" s="6" t="n">
        <v>104.86</v>
      </c>
      <c r="K163" s="7" t="inlineStr">
        <is>
          <t>Cartão Nubank PF</t>
        </is>
      </c>
      <c r="L163" s="5" t="inlineStr">
        <is>
          <t>Normal PF</t>
        </is>
      </c>
      <c r="M163" s="9" t="inlineStr">
        <is>
          <t>Liquidado</t>
        </is>
      </c>
      <c r="N163" s="17" t="inlineStr">
        <is>
          <t>Mercado</t>
        </is>
      </c>
    </row>
    <row r="164">
      <c r="A164" s="9" t="n">
        <v>163</v>
      </c>
      <c r="B164" s="9" t="inlineStr">
        <is>
          <t>2026-09-24</t>
        </is>
      </c>
      <c r="C164" s="9" t="inlineStr">
        <is>
          <t>09/2026</t>
        </is>
      </c>
      <c r="D164" s="7" t="inlineStr">
        <is>
          <t>Cartão Nubank PF</t>
        </is>
      </c>
      <c r="E164" s="9" t="inlineStr">
        <is>
          <t>PF</t>
        </is>
      </c>
      <c r="F164" s="9" t="inlineStr">
        <is>
          <t>Despesa</t>
        </is>
      </c>
      <c r="G164" s="5" t="inlineStr">
        <is>
          <t>Transporte &amp; Veículos</t>
        </is>
      </c>
      <c r="H164" s="7" t="inlineStr">
        <is>
          <t>Combustível</t>
        </is>
      </c>
      <c r="I164" s="5" t="inlineStr">
        <is>
          <t>Posto Classe A</t>
        </is>
      </c>
      <c r="J164" s="6" t="n">
        <v>100</v>
      </c>
      <c r="K164" s="7" t="inlineStr">
        <is>
          <t>Cartão Nubank PF</t>
        </is>
      </c>
      <c r="L164" s="5" t="inlineStr">
        <is>
          <t>Normal PF</t>
        </is>
      </c>
      <c r="M164" s="9" t="inlineStr">
        <is>
          <t>Liquidado</t>
        </is>
      </c>
      <c r="N164" s="17" t="inlineStr">
        <is>
          <t>Abastecimento</t>
        </is>
      </c>
    </row>
    <row r="165">
      <c r="A165" s="9" t="n">
        <v>164</v>
      </c>
      <c r="B165" s="9" t="inlineStr">
        <is>
          <t>2026-09-24</t>
        </is>
      </c>
      <c r="C165" s="9" t="inlineStr">
        <is>
          <t>09/2026</t>
        </is>
      </c>
      <c r="D165" s="7" t="inlineStr">
        <is>
          <t>Cartão Nubank PF</t>
        </is>
      </c>
      <c r="E165" s="9" t="inlineStr">
        <is>
          <t>PF</t>
        </is>
      </c>
      <c r="F165" s="9" t="inlineStr">
        <is>
          <t>Despesa</t>
        </is>
      </c>
      <c r="G165" s="5" t="inlineStr">
        <is>
          <t>Alimentação</t>
        </is>
      </c>
      <c r="H165" s="7" t="inlineStr">
        <is>
          <t>Restaurantes &amp; Lanches</t>
        </is>
      </c>
      <c r="I165" s="5" t="inlineStr">
        <is>
          <t>Pg *Cantina do Bila</t>
        </is>
      </c>
      <c r="J165" s="6" t="n">
        <v>93</v>
      </c>
      <c r="K165" s="7" t="inlineStr">
        <is>
          <t>Cartão Nubank PF</t>
        </is>
      </c>
      <c r="L165" s="5" t="inlineStr">
        <is>
          <t>Normal PF</t>
        </is>
      </c>
      <c r="M165" s="9" t="inlineStr">
        <is>
          <t>Liquidado</t>
        </is>
      </c>
      <c r="N165" s="17" t="inlineStr">
        <is>
          <t>Refeição</t>
        </is>
      </c>
    </row>
    <row r="166">
      <c r="A166" s="9" t="n">
        <v>165</v>
      </c>
      <c r="B166" s="9" t="inlineStr">
        <is>
          <t>2026-09-24</t>
        </is>
      </c>
      <c r="C166" s="9" t="inlineStr">
        <is>
          <t>09/2026</t>
        </is>
      </c>
      <c r="D166" s="7" t="inlineStr">
        <is>
          <t>Cartão Nubank PF</t>
        </is>
      </c>
      <c r="E166" s="9" t="inlineStr">
        <is>
          <t>PF</t>
        </is>
      </c>
      <c r="F166" s="9" t="inlineStr">
        <is>
          <t>Despesa</t>
        </is>
      </c>
      <c r="G166" s="5" t="inlineStr">
        <is>
          <t>Alimentação</t>
        </is>
      </c>
      <c r="H166" s="7" t="inlineStr">
        <is>
          <t>Restaurantes &amp; Lanches</t>
        </is>
      </c>
      <c r="I166" s="5" t="inlineStr">
        <is>
          <t>Copa Cafe Bistro</t>
        </is>
      </c>
      <c r="J166" s="6" t="n">
        <v>42</v>
      </c>
      <c r="K166" s="7" t="inlineStr">
        <is>
          <t>Cartão Nubank PF</t>
        </is>
      </c>
      <c r="L166" s="5" t="inlineStr">
        <is>
          <t>Normal PF</t>
        </is>
      </c>
      <c r="M166" s="9" t="inlineStr">
        <is>
          <t>Liquidado</t>
        </is>
      </c>
      <c r="N166" s="17" t="inlineStr">
        <is>
          <t>Café / Bistro</t>
        </is>
      </c>
    </row>
    <row r="167">
      <c r="A167" s="9" t="n">
        <v>166</v>
      </c>
      <c r="B167" s="9" t="inlineStr">
        <is>
          <t>2026-09-24</t>
        </is>
      </c>
      <c r="C167" s="9" t="inlineStr">
        <is>
          <t>09/2026</t>
        </is>
      </c>
      <c r="D167" s="7" t="inlineStr">
        <is>
          <t>Cartão Nubank PF</t>
        </is>
      </c>
      <c r="E167" s="9" t="inlineStr">
        <is>
          <t>PF</t>
        </is>
      </c>
      <c r="F167" s="9" t="inlineStr">
        <is>
          <t>Despesa</t>
        </is>
      </c>
      <c r="G167" s="5" t="inlineStr">
        <is>
          <t>Compras &amp; Lazer</t>
        </is>
      </c>
      <c r="H167" s="7" t="inlineStr">
        <is>
          <t>Pets / Agropecuária</t>
        </is>
      </c>
      <c r="I167" s="5" t="inlineStr">
        <is>
          <t>Petagro</t>
        </is>
      </c>
      <c r="J167" s="6" t="n">
        <v>28.9</v>
      </c>
      <c r="K167" s="7" t="inlineStr">
        <is>
          <t>Cartão Nubank PF</t>
        </is>
      </c>
      <c r="L167" s="5" t="inlineStr">
        <is>
          <t>Normal PF</t>
        </is>
      </c>
      <c r="M167" s="9" t="inlineStr">
        <is>
          <t>Liquidado</t>
        </is>
      </c>
      <c r="N167" s="17" t="inlineStr">
        <is>
          <t>Petshop</t>
        </is>
      </c>
    </row>
    <row r="168">
      <c r="A168" s="9" t="n">
        <v>167</v>
      </c>
      <c r="B168" s="9" t="inlineStr">
        <is>
          <t>2026-09-24</t>
        </is>
      </c>
      <c r="C168" s="9" t="inlineStr">
        <is>
          <t>09/2026</t>
        </is>
      </c>
      <c r="D168" s="7" t="inlineStr">
        <is>
          <t>Cartão Nubank PF</t>
        </is>
      </c>
      <c r="E168" s="9" t="inlineStr">
        <is>
          <t>PF</t>
        </is>
      </c>
      <c r="F168" s="9" t="inlineStr">
        <is>
          <t>Despesa</t>
        </is>
      </c>
      <c r="G168" s="5" t="inlineStr">
        <is>
          <t>Alimentação</t>
        </is>
      </c>
      <c r="H168" s="7" t="inlineStr">
        <is>
          <t>Supermercados</t>
        </is>
      </c>
      <c r="I168" s="5" t="inlineStr">
        <is>
          <t>Supermercado Buritis</t>
        </is>
      </c>
      <c r="J168" s="6" t="n">
        <v>20.53</v>
      </c>
      <c r="K168" s="7" t="inlineStr">
        <is>
          <t>Cartão Nubank PF</t>
        </is>
      </c>
      <c r="L168" s="5" t="inlineStr">
        <is>
          <t>Normal PF</t>
        </is>
      </c>
      <c r="M168" s="9" t="inlineStr">
        <is>
          <t>Liquidado</t>
        </is>
      </c>
      <c r="N168" s="17" t="inlineStr">
        <is>
          <t>Mercado</t>
        </is>
      </c>
    </row>
    <row r="169">
      <c r="A169" s="9" t="n">
        <v>168</v>
      </c>
      <c r="B169" s="9" t="inlineStr">
        <is>
          <t>2026-09-25</t>
        </is>
      </c>
      <c r="C169" s="9" t="inlineStr">
        <is>
          <t>09/2026</t>
        </is>
      </c>
      <c r="D169" s="7" t="inlineStr">
        <is>
          <t>Cartão Nubank PF</t>
        </is>
      </c>
      <c r="E169" s="9" t="inlineStr">
        <is>
          <t>PF</t>
        </is>
      </c>
      <c r="F169" s="9" t="inlineStr">
        <is>
          <t>Despesa</t>
        </is>
      </c>
      <c r="G169" s="5" t="inlineStr">
        <is>
          <t>Alimentação</t>
        </is>
      </c>
      <c r="H169" s="7" t="inlineStr">
        <is>
          <t>Padaria / Lanches</t>
        </is>
      </c>
      <c r="I169" s="5" t="inlineStr">
        <is>
          <t>Prado</t>
        </is>
      </c>
      <c r="J169" s="6" t="n">
        <v>68.48</v>
      </c>
      <c r="K169" s="7" t="inlineStr">
        <is>
          <t>Cartão Nubank PF</t>
        </is>
      </c>
      <c r="L169" s="5" t="inlineStr">
        <is>
          <t>Normal PF</t>
        </is>
      </c>
      <c r="M169" s="9" t="inlineStr">
        <is>
          <t>Liquidado</t>
        </is>
      </c>
      <c r="N169" s="17" t="inlineStr">
        <is>
          <t>Padaria</t>
        </is>
      </c>
    </row>
    <row r="170">
      <c r="A170" s="9" t="n">
        <v>169</v>
      </c>
      <c r="B170" s="9" t="inlineStr">
        <is>
          <t>2026-09-25</t>
        </is>
      </c>
      <c r="C170" s="9" t="inlineStr">
        <is>
          <t>09/2026</t>
        </is>
      </c>
      <c r="D170" s="7" t="inlineStr">
        <is>
          <t>Cartão Nubank PF</t>
        </is>
      </c>
      <c r="E170" s="9" t="inlineStr">
        <is>
          <t>PF</t>
        </is>
      </c>
      <c r="F170" s="9" t="inlineStr">
        <is>
          <t>Despesa</t>
        </is>
      </c>
      <c r="G170" s="5" t="inlineStr">
        <is>
          <t>Alimentação</t>
        </is>
      </c>
      <c r="H170" s="7" t="inlineStr">
        <is>
          <t>Supermercados</t>
        </is>
      </c>
      <c r="I170" s="5" t="inlineStr">
        <is>
          <t>Supermercado Buritis</t>
        </is>
      </c>
      <c r="J170" s="6" t="n">
        <v>20.13</v>
      </c>
      <c r="K170" s="7" t="inlineStr">
        <is>
          <t>Cartão Nubank PF</t>
        </is>
      </c>
      <c r="L170" s="5" t="inlineStr">
        <is>
          <t>Normal PF</t>
        </is>
      </c>
      <c r="M170" s="9" t="inlineStr">
        <is>
          <t>Liquidado</t>
        </is>
      </c>
      <c r="N170" s="17" t="inlineStr">
        <is>
          <t>Mercado</t>
        </is>
      </c>
    </row>
    <row r="171">
      <c r="A171" s="9" t="n">
        <v>170</v>
      </c>
      <c r="B171" s="9" t="inlineStr">
        <is>
          <t>2026-09-26</t>
        </is>
      </c>
      <c r="C171" s="9" t="inlineStr">
        <is>
          <t>09/2026</t>
        </is>
      </c>
      <c r="D171" s="7" t="inlineStr">
        <is>
          <t>Cartão Nubank PF</t>
        </is>
      </c>
      <c r="E171" s="9" t="inlineStr">
        <is>
          <t>PF</t>
        </is>
      </c>
      <c r="F171" s="9" t="inlineStr">
        <is>
          <t>Despesa</t>
        </is>
      </c>
      <c r="G171" s="5" t="inlineStr">
        <is>
          <t>Alimentação</t>
        </is>
      </c>
      <c r="H171" s="7" t="inlineStr">
        <is>
          <t>Restaurantes &amp; Lanches</t>
        </is>
      </c>
      <c r="I171" s="5" t="inlineStr">
        <is>
          <t>El Ternazo Buritis</t>
        </is>
      </c>
      <c r="J171" s="6" t="n">
        <v>212.29</v>
      </c>
      <c r="K171" s="7" t="inlineStr">
        <is>
          <t>Cartão Nubank PF</t>
        </is>
      </c>
      <c r="L171" s="5" t="inlineStr">
        <is>
          <t>Normal PF</t>
        </is>
      </c>
      <c r="M171" s="9" t="inlineStr">
        <is>
          <t>Liquidado</t>
        </is>
      </c>
      <c r="N171" s="17" t="inlineStr">
        <is>
          <t>Churrascaria / Restaurante</t>
        </is>
      </c>
    </row>
    <row r="172">
      <c r="A172" s="9" t="n">
        <v>171</v>
      </c>
      <c r="B172" s="9" t="inlineStr">
        <is>
          <t>2026-09-26</t>
        </is>
      </c>
      <c r="C172" s="9" t="inlineStr">
        <is>
          <t>09/2026</t>
        </is>
      </c>
      <c r="D172" s="7" t="inlineStr">
        <is>
          <t>Cartão Nubank PF</t>
        </is>
      </c>
      <c r="E172" s="9" t="inlineStr">
        <is>
          <t>PF</t>
        </is>
      </c>
      <c r="F172" s="9" t="inlineStr">
        <is>
          <t>Despesa</t>
        </is>
      </c>
      <c r="G172" s="5" t="inlineStr">
        <is>
          <t>Saúde &amp; Bem-Estar</t>
        </is>
      </c>
      <c r="H172" s="7" t="inlineStr">
        <is>
          <t>Odontologia</t>
        </is>
      </c>
      <c r="I172" s="5" t="inlineStr">
        <is>
          <t>Multi Dental</t>
        </is>
      </c>
      <c r="J172" s="6" t="n">
        <v>63</v>
      </c>
      <c r="K172" s="7" t="inlineStr">
        <is>
          <t>Cartão Nubank PF</t>
        </is>
      </c>
      <c r="L172" s="5" t="inlineStr">
        <is>
          <t>Normal PF</t>
        </is>
      </c>
      <c r="M172" s="9" t="inlineStr">
        <is>
          <t>Liquidado</t>
        </is>
      </c>
      <c r="N172" s="17" t="inlineStr">
        <is>
          <t>Odontologia</t>
        </is>
      </c>
    </row>
    <row r="173">
      <c r="A173" s="9" t="n">
        <v>172</v>
      </c>
      <c r="B173" s="9" t="inlineStr">
        <is>
          <t>2026-09-26</t>
        </is>
      </c>
      <c r="C173" s="9" t="inlineStr">
        <is>
          <t>09/2026</t>
        </is>
      </c>
      <c r="D173" s="7" t="inlineStr">
        <is>
          <t>Cartão Nubank PF</t>
        </is>
      </c>
      <c r="E173" s="9" t="inlineStr">
        <is>
          <t>PF</t>
        </is>
      </c>
      <c r="F173" s="9" t="inlineStr">
        <is>
          <t>Despesa</t>
        </is>
      </c>
      <c r="G173" s="5" t="inlineStr">
        <is>
          <t>Compras &amp; Lazer</t>
        </is>
      </c>
      <c r="H173" s="7" t="inlineStr">
        <is>
          <t>Streaming / Assinaturas</t>
        </is>
      </c>
      <c r="I173" s="5" t="inlineStr">
        <is>
          <t>Amazon Prime Canais</t>
        </is>
      </c>
      <c r="J173" s="6" t="n">
        <v>44.9</v>
      </c>
      <c r="K173" s="7" t="inlineStr">
        <is>
          <t>Cartão Nubank PF</t>
        </is>
      </c>
      <c r="L173" s="5" t="inlineStr">
        <is>
          <t>Normal PF</t>
        </is>
      </c>
      <c r="M173" s="9" t="inlineStr">
        <is>
          <t>Liquidado</t>
        </is>
      </c>
      <c r="N173" s="17" t="inlineStr">
        <is>
          <t>Streaming canais</t>
        </is>
      </c>
    </row>
    <row r="174">
      <c r="A174" s="9" t="n">
        <v>173</v>
      </c>
      <c r="B174" s="9" t="inlineStr">
        <is>
          <t>2026-09-26</t>
        </is>
      </c>
      <c r="C174" s="9" t="inlineStr">
        <is>
          <t>09/2026</t>
        </is>
      </c>
      <c r="D174" s="7" t="inlineStr">
        <is>
          <t>Cartão Nubank PF</t>
        </is>
      </c>
      <c r="E174" s="9" t="inlineStr">
        <is>
          <t>PF</t>
        </is>
      </c>
      <c r="F174" s="9" t="inlineStr">
        <is>
          <t>Despesa</t>
        </is>
      </c>
      <c r="G174" s="5" t="inlineStr">
        <is>
          <t>Alimentação</t>
        </is>
      </c>
      <c r="H174" s="7" t="inlineStr">
        <is>
          <t>Padaria / Lanches</t>
        </is>
      </c>
      <c r="I174" s="5" t="inlineStr">
        <is>
          <t>Mp *Pastelzinho</t>
        </is>
      </c>
      <c r="J174" s="6" t="n">
        <v>31</v>
      </c>
      <c r="K174" s="7" t="inlineStr">
        <is>
          <t>Cartão Nubank PF</t>
        </is>
      </c>
      <c r="L174" s="5" t="inlineStr">
        <is>
          <t>Normal PF</t>
        </is>
      </c>
      <c r="M174" s="9" t="inlineStr">
        <is>
          <t>Liquidado</t>
        </is>
      </c>
      <c r="N174" s="17" t="inlineStr">
        <is>
          <t>Lanches</t>
        </is>
      </c>
    </row>
    <row r="175">
      <c r="A175" s="9" t="n">
        <v>174</v>
      </c>
      <c r="B175" s="9" t="inlineStr">
        <is>
          <t>2026-09-27</t>
        </is>
      </c>
      <c r="C175" s="9" t="inlineStr">
        <is>
          <t>09/2026</t>
        </is>
      </c>
      <c r="D175" s="7" t="inlineStr">
        <is>
          <t>Cartão Nubank PF</t>
        </is>
      </c>
      <c r="E175" s="9" t="inlineStr">
        <is>
          <t>PF</t>
        </is>
      </c>
      <c r="F175" s="9" t="inlineStr">
        <is>
          <t>Despesa</t>
        </is>
      </c>
      <c r="G175" s="5" t="inlineStr">
        <is>
          <t>Alimentação</t>
        </is>
      </c>
      <c r="H175" s="7" t="inlineStr">
        <is>
          <t>Supermercados</t>
        </is>
      </c>
      <c r="I175" s="5" t="inlineStr">
        <is>
          <t>Supermercado Buritis</t>
        </is>
      </c>
      <c r="J175" s="6" t="n">
        <v>63.34</v>
      </c>
      <c r="K175" s="7" t="inlineStr">
        <is>
          <t>Cartão Nubank PF</t>
        </is>
      </c>
      <c r="L175" s="5" t="inlineStr">
        <is>
          <t>Normal PF</t>
        </is>
      </c>
      <c r="M175" s="9" t="inlineStr">
        <is>
          <t>Liquidado</t>
        </is>
      </c>
      <c r="N175" s="17" t="inlineStr">
        <is>
          <t>Mercado</t>
        </is>
      </c>
    </row>
    <row r="176">
      <c r="A176" s="9" t="n">
        <v>175</v>
      </c>
      <c r="B176" s="9" t="inlineStr">
        <is>
          <t>2026-09-28</t>
        </is>
      </c>
      <c r="C176" s="9" t="inlineStr">
        <is>
          <t>09/2026</t>
        </is>
      </c>
      <c r="D176" s="7" t="inlineStr">
        <is>
          <t>Cartão Nubank PF</t>
        </is>
      </c>
      <c r="E176" s="9" t="inlineStr">
        <is>
          <t>PF</t>
        </is>
      </c>
      <c r="F176" s="9" t="inlineStr">
        <is>
          <t>Despesa</t>
        </is>
      </c>
      <c r="G176" s="5" t="inlineStr">
        <is>
          <t>Alimentação</t>
        </is>
      </c>
      <c r="H176" s="7" t="inlineStr">
        <is>
          <t>Supermercados</t>
        </is>
      </c>
      <c r="I176" s="5" t="inlineStr">
        <is>
          <t>Supermercado Buritis</t>
        </is>
      </c>
      <c r="J176" s="6" t="n">
        <v>161.97</v>
      </c>
      <c r="K176" s="7" t="inlineStr">
        <is>
          <t>Cartão Nubank PF</t>
        </is>
      </c>
      <c r="L176" s="5" t="inlineStr">
        <is>
          <t>Normal PF</t>
        </is>
      </c>
      <c r="M176" s="9" t="inlineStr">
        <is>
          <t>Liquidado</t>
        </is>
      </c>
      <c r="N176" s="17" t="inlineStr">
        <is>
          <t>Mercado</t>
        </is>
      </c>
    </row>
    <row r="177">
      <c r="A177" s="9" t="n">
        <v>176</v>
      </c>
      <c r="B177" s="9" t="inlineStr">
        <is>
          <t>2026-09-28</t>
        </is>
      </c>
      <c r="C177" s="9" t="inlineStr">
        <is>
          <t>09/2026</t>
        </is>
      </c>
      <c r="D177" s="7" t="inlineStr">
        <is>
          <t>Cartão Nubank PF</t>
        </is>
      </c>
      <c r="E177" s="9" t="inlineStr">
        <is>
          <t>PF</t>
        </is>
      </c>
      <c r="F177" s="9" t="inlineStr">
        <is>
          <t>Despesa</t>
        </is>
      </c>
      <c r="G177" s="5" t="inlineStr">
        <is>
          <t>Compras &amp; Lazer</t>
        </is>
      </c>
      <c r="H177" s="7" t="inlineStr">
        <is>
          <t>Compras Online</t>
        </is>
      </c>
      <c r="I177" s="5" t="inlineStr">
        <is>
          <t>Amazonmktplc *Fastgosho</t>
        </is>
      </c>
      <c r="J177" s="6" t="n">
        <v>69.87</v>
      </c>
      <c r="K177" s="7" t="inlineStr">
        <is>
          <t>Cartão Nubank PF</t>
        </is>
      </c>
      <c r="L177" s="5" t="inlineStr">
        <is>
          <t>Normal PF</t>
        </is>
      </c>
      <c r="M177" s="9" t="inlineStr">
        <is>
          <t>Liquidado</t>
        </is>
      </c>
      <c r="N177" s="17" t="inlineStr">
        <is>
          <t>Compra Amazon</t>
        </is>
      </c>
    </row>
    <row r="178">
      <c r="A178" s="9" t="n">
        <v>177</v>
      </c>
      <c r="B178" s="9" t="inlineStr">
        <is>
          <t>2026-09-29</t>
        </is>
      </c>
      <c r="C178" s="9" t="inlineStr">
        <is>
          <t>09/2026</t>
        </is>
      </c>
      <c r="D178" s="7" t="inlineStr">
        <is>
          <t>Cartão Nubank PF</t>
        </is>
      </c>
      <c r="E178" s="9" t="inlineStr">
        <is>
          <t>PF</t>
        </is>
      </c>
      <c r="F178" s="9" t="inlineStr">
        <is>
          <t>Despesa</t>
        </is>
      </c>
      <c r="G178" s="5" t="inlineStr">
        <is>
          <t>Transporte &amp; Veículos</t>
        </is>
      </c>
      <c r="H178" s="7" t="inlineStr">
        <is>
          <t>Combustível</t>
        </is>
      </c>
      <c r="I178" s="5" t="inlineStr">
        <is>
          <t>Auto Posto Mariano</t>
        </is>
      </c>
      <c r="J178" s="6" t="n">
        <v>150</v>
      </c>
      <c r="K178" s="7" t="inlineStr">
        <is>
          <t>Cartão Nubank PF</t>
        </is>
      </c>
      <c r="L178" s="5" t="inlineStr">
        <is>
          <t>Normal PF</t>
        </is>
      </c>
      <c r="M178" s="9" t="inlineStr">
        <is>
          <t>Liquidado</t>
        </is>
      </c>
      <c r="N178" s="17" t="inlineStr">
        <is>
          <t>Abastecimento</t>
        </is>
      </c>
    </row>
    <row r="179">
      <c r="A179" s="9" t="n">
        <v>178</v>
      </c>
      <c r="B179" s="9" t="inlineStr">
        <is>
          <t>2026-09-29</t>
        </is>
      </c>
      <c r="C179" s="9" t="inlineStr">
        <is>
          <t>09/2026</t>
        </is>
      </c>
      <c r="D179" s="7" t="inlineStr">
        <is>
          <t>Cartão Nubank PF</t>
        </is>
      </c>
      <c r="E179" s="9" t="inlineStr">
        <is>
          <t>PF</t>
        </is>
      </c>
      <c r="F179" s="9" t="inlineStr">
        <is>
          <t>Despesa</t>
        </is>
      </c>
      <c r="G179" s="5" t="inlineStr">
        <is>
          <t>Alimentação</t>
        </is>
      </c>
      <c r="H179" s="7" t="inlineStr">
        <is>
          <t>Supermercados</t>
        </is>
      </c>
      <c r="I179" s="5" t="inlineStr">
        <is>
          <t>Supermercado Buritis</t>
        </is>
      </c>
      <c r="J179" s="6" t="n">
        <v>178.47</v>
      </c>
      <c r="K179" s="7" t="inlineStr">
        <is>
          <t>Cartão Nubank PF</t>
        </is>
      </c>
      <c r="L179" s="5" t="inlineStr">
        <is>
          <t>Normal PF</t>
        </is>
      </c>
      <c r="M179" s="9" t="inlineStr">
        <is>
          <t>Liquidado</t>
        </is>
      </c>
      <c r="N179" s="17" t="inlineStr">
        <is>
          <t>Mercado</t>
        </is>
      </c>
    </row>
    <row r="180">
      <c r="A180" s="9" t="n">
        <v>179</v>
      </c>
      <c r="B180" s="9" t="inlineStr">
        <is>
          <t>2026-09-29</t>
        </is>
      </c>
      <c r="C180" s="9" t="inlineStr">
        <is>
          <t>09/2026</t>
        </is>
      </c>
      <c r="D180" s="7" t="inlineStr">
        <is>
          <t>Cartão Nubank PF</t>
        </is>
      </c>
      <c r="E180" s="9" t="inlineStr">
        <is>
          <t>PF</t>
        </is>
      </c>
      <c r="F180" s="9" t="inlineStr">
        <is>
          <t>Despesa</t>
        </is>
      </c>
      <c r="G180" s="5" t="inlineStr">
        <is>
          <t>Alimentação</t>
        </is>
      </c>
      <c r="H180" s="7" t="inlineStr">
        <is>
          <t>Hortifruti / Granel</t>
        </is>
      </c>
      <c r="I180" s="5" t="inlineStr">
        <is>
          <t>D Terra Emporio Granel</t>
        </is>
      </c>
      <c r="J180" s="6" t="n">
        <v>117.22</v>
      </c>
      <c r="K180" s="7" t="inlineStr">
        <is>
          <t>Cartão Nubank PF</t>
        </is>
      </c>
      <c r="L180" s="5" t="inlineStr">
        <is>
          <t>Normal PF</t>
        </is>
      </c>
      <c r="M180" s="9" t="inlineStr">
        <is>
          <t>Liquidado</t>
        </is>
      </c>
      <c r="N180" s="17" t="inlineStr">
        <is>
          <t>Produtos a granel</t>
        </is>
      </c>
    </row>
    <row r="181">
      <c r="A181" s="9" t="n">
        <v>180</v>
      </c>
      <c r="B181" s="9" t="inlineStr">
        <is>
          <t>2026-09-29</t>
        </is>
      </c>
      <c r="C181" s="9" t="inlineStr">
        <is>
          <t>09/2026</t>
        </is>
      </c>
      <c r="D181" s="7" t="inlineStr">
        <is>
          <t>Cartão Nubank PF</t>
        </is>
      </c>
      <c r="E181" s="9" t="inlineStr">
        <is>
          <t>PF</t>
        </is>
      </c>
      <c r="F181" s="9" t="inlineStr">
        <is>
          <t>Despesa</t>
        </is>
      </c>
      <c r="G181" s="5" t="inlineStr">
        <is>
          <t>Alimentação</t>
        </is>
      </c>
      <c r="H181" s="7" t="inlineStr">
        <is>
          <t>Padaria / Lanches</t>
        </is>
      </c>
      <c r="I181" s="5" t="inlineStr">
        <is>
          <t>Mp *Rosinairibeir</t>
        </is>
      </c>
      <c r="J181" s="6" t="n">
        <v>25</v>
      </c>
      <c r="K181" s="7" t="inlineStr">
        <is>
          <t>Cartão Nubank PF</t>
        </is>
      </c>
      <c r="L181" s="5" t="inlineStr">
        <is>
          <t>Normal PF</t>
        </is>
      </c>
      <c r="M181" s="9" t="inlineStr">
        <is>
          <t>Liquidado</t>
        </is>
      </c>
      <c r="N181" s="17" t="inlineStr">
        <is>
          <t>Padaria</t>
        </is>
      </c>
    </row>
  </sheetData>
  <autoFilter ref="A1:N18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2026-10-08T10:55:42Z</dcterms:created>
  <dcterms:modified xmlns:dcterms="http://purl.org/dc/terms/" xmlns:xsi="http://www.w3.org/2001/XMLSchema-instance" xsi:type="dcterms:W3CDTF">2026-10-08T10:55:42Z</dcterms:modified>
</cp:coreProperties>
</file>